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GONZALEZ\Desktop\"/>
    </mc:Choice>
  </mc:AlternateContent>
  <xr:revisionPtr revIDLastSave="0" documentId="13_ncr:1_{E9969F55-D32A-49C6-AA03-F7051CFDE156}" xr6:coauthVersionLast="47" xr6:coauthVersionMax="47" xr10:uidLastSave="{00000000-0000-0000-0000-000000000000}"/>
  <bookViews>
    <workbookView xWindow="-28920" yWindow="-120" windowWidth="29040" windowHeight="15840" xr2:uid="{00000000-000D-0000-FFFF-FFFF00000000}"/>
  </bookViews>
  <sheets>
    <sheet name="Control de Turnos 21.09" sheetId="1" r:id="rId1"/>
    <sheet name="Turno extendido" sheetId="3" r:id="rId2"/>
    <sheet name="ETO" sheetId="2" r:id="rId3"/>
    <sheet name="Hoja3" sheetId="4" r:id="rId4"/>
  </sheets>
  <definedNames>
    <definedName name="_xlnm._FilterDatabase" localSheetId="0" hidden="1">'Control de Turnos 21.09'!$A$45:$AF$45</definedName>
    <definedName name="_xlnm._FilterDatabase" localSheetId="2" hidden="1">ETO!$B$5:$M$46</definedName>
    <definedName name="_xlnm._FilterDatabase" localSheetId="3" hidden="1">Hoja3!$A$10:$AK$10</definedName>
    <definedName name="_xlnm.Print_Area" localSheetId="0">'Control de Turnos 21.09'!$A$1:$AF$72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c r="J46" i="2"/>
  <c r="M46" i="2"/>
  <c r="J45" i="2"/>
  <c r="M45" i="2"/>
  <c r="J44" i="2"/>
  <c r="M44" i="2"/>
  <c r="M43" i="2"/>
  <c r="J42" i="2"/>
  <c r="M42" i="2"/>
  <c r="M41" i="2"/>
  <c r="J36" i="2"/>
  <c r="J37" i="2"/>
  <c r="J38" i="2"/>
  <c r="J39" i="2"/>
  <c r="J40" i="2"/>
  <c r="J41" i="2"/>
  <c r="J43" i="2"/>
  <c r="J35" i="2"/>
  <c r="J34" i="2"/>
  <c r="J33" i="2"/>
  <c r="J32" i="2"/>
  <c r="J31" i="2"/>
  <c r="J30" i="2"/>
  <c r="J29" i="2"/>
  <c r="J28" i="2"/>
  <c r="J27" i="2"/>
  <c r="J26" i="2"/>
  <c r="J25"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J7" i="2"/>
  <c r="J8" i="2"/>
  <c r="J9" i="2"/>
  <c r="J10" i="2"/>
  <c r="J11" i="2"/>
  <c r="J12" i="2"/>
  <c r="J13" i="2"/>
  <c r="J14" i="2"/>
  <c r="J15" i="2"/>
  <c r="J16" i="2"/>
  <c r="J17" i="2"/>
  <c r="J18" i="2"/>
  <c r="J19" i="2"/>
  <c r="J20" i="2"/>
  <c r="J21" i="2"/>
  <c r="J22" i="2"/>
  <c r="J23" i="2"/>
  <c r="J24" i="2"/>
  <c r="J6" i="2"/>
</calcChain>
</file>

<file path=xl/sharedStrings.xml><?xml version="1.0" encoding="utf-8"?>
<sst xmlns="http://schemas.openxmlformats.org/spreadsheetml/2006/main" count="841" uniqueCount="197">
  <si>
    <t>PLANILLA DE CONTROL DE TURNOS Y FISCALIZACIÓN</t>
  </si>
  <si>
    <t>Programación Semanal - Lunes a Sábado</t>
  </si>
  <si>
    <t>Semana del:</t>
  </si>
  <si>
    <t>Día</t>
  </si>
  <si>
    <t>Entrada</t>
  </si>
  <si>
    <t>Salida</t>
  </si>
  <si>
    <t>Sector</t>
  </si>
  <si>
    <t>Tipo de Exigencia</t>
  </si>
  <si>
    <t>Fiscalización 1</t>
  </si>
  <si>
    <t>Fiscalización 2</t>
  </si>
  <si>
    <t>Fiscalización 3</t>
  </si>
  <si>
    <t>Fiscalización 4</t>
  </si>
  <si>
    <t>Estado</t>
  </si>
  <si>
    <t>Observaciones</t>
  </si>
  <si>
    <t>Lunes</t>
  </si>
  <si>
    <t>08:30</t>
  </si>
  <si>
    <t>14:00</t>
  </si>
  <si>
    <t>15:00</t>
  </si>
  <si>
    <t>17:30</t>
  </si>
  <si>
    <t>Pendiente</t>
  </si>
  <si>
    <t>Martes</t>
  </si>
  <si>
    <t>Miércoles</t>
  </si>
  <si>
    <t>Jueves</t>
  </si>
  <si>
    <t>Viernes</t>
  </si>
  <si>
    <t>Sábado</t>
  </si>
  <si>
    <t>09:00</t>
  </si>
  <si>
    <t xml:space="preserve">al </t>
  </si>
  <si>
    <t>Inspector</t>
  </si>
  <si>
    <t>Camino agua del padre 6776</t>
  </si>
  <si>
    <t>ETO</t>
  </si>
  <si>
    <t>Solgelec (Sociedad de Servicios de Ingeniería y Construcción SOLGELEC S.A)</t>
  </si>
  <si>
    <t>Instalación de Ductos y Construcción de cámaras para redes eléctricas.</t>
  </si>
  <si>
    <t>NO</t>
  </si>
  <si>
    <t>Unidad Vecinal</t>
  </si>
  <si>
    <t>Romeral 9591</t>
  </si>
  <si>
    <t>Copergo Ltda</t>
  </si>
  <si>
    <t>Instalación de arranque de agua potable</t>
  </si>
  <si>
    <t>Benito Juarez 1012</t>
  </si>
  <si>
    <t>GEN CONSTRUCTORA E INVERSIONES LTDA.</t>
  </si>
  <si>
    <t>DEMOLICION Y CONSTRUCCION DE VEREDA DE HORMIGON FRENTE PREDIAL, POR CALLE BENITO JUAREZ.</t>
  </si>
  <si>
    <t>Brasilia 1121</t>
  </si>
  <si>
    <t>Metrogas S.A.</t>
  </si>
  <si>
    <t>Empalme Red de Gas Natural</t>
  </si>
  <si>
    <t>Av. Nva. Costanera 3900</t>
  </si>
  <si>
    <t>Duotempus SPA</t>
  </si>
  <si>
    <t>camiones Mixer, se posicionarán en calle Gral. Obrien para descarga de hormigón, donde se realizará una obra al interior de casa Costanera</t>
  </si>
  <si>
    <t>El Arcangel, el Tamarugo, Pío XI</t>
  </si>
  <si>
    <t>Ing. Y Const Grupo TACORA</t>
  </si>
  <si>
    <t>TRABAJOS DE SEÑALIZACION Y DEMARCACION</t>
  </si>
  <si>
    <t>Los Abetos 1540</t>
  </si>
  <si>
    <t>VERONIKA PACHALY</t>
  </si>
  <si>
    <t>CIERRE PROVISORIO EN ESPACIO PUBLICO</t>
  </si>
  <si>
    <t>Camino Agua del Padre 6808</t>
  </si>
  <si>
    <t>ENEL Distribución Chile S.A.</t>
  </si>
  <si>
    <t>Solgelec (Sociedad de servicios de ingeniería y construcción)</t>
  </si>
  <si>
    <t>Instalación de Ductos para Redes Eléctricas</t>
  </si>
  <si>
    <t>Las Hualtatas 8061</t>
  </si>
  <si>
    <t>Dominion S.P. A</t>
  </si>
  <si>
    <t>Instalación de Ductos para Redes Eléctricas.</t>
  </si>
  <si>
    <t>ROMERAL  9591</t>
  </si>
  <si>
    <t>Aguas Cordillera S.A</t>
  </si>
  <si>
    <t>COPERGO LTDA.</t>
  </si>
  <si>
    <t>INSTALACION ARRANQUE AP EN LA PISTA LADO SUR, MAS UN CAMION PARA CARGA Y DESCARGA</t>
  </si>
  <si>
    <t>Avda. Monseñor Escriba de Balaguer 5873</t>
  </si>
  <si>
    <t>Inversiones FRD limitada. Representante legal Claudio Rivera Ferrario.</t>
  </si>
  <si>
    <t>Constructora Tres caballos ltda.</t>
  </si>
  <si>
    <t>DESCARGA CAMION DE HORMIGON EN BOMBA IMPULSORA PARA LLENADO DE LOSA EN SEGUNDO NIVEL</t>
  </si>
  <si>
    <t>Camino Agua del Padre 6788</t>
  </si>
  <si>
    <t>Doctor Alfredo Almeyda 6481</t>
  </si>
  <si>
    <t>Instalación de empalme</t>
  </si>
  <si>
    <t>Inm. y Constructora Club de Campo S.A.</t>
  </si>
  <si>
    <t>El Tamarugo, Las Fresas, Avda. Pdte. Kennedy</t>
  </si>
  <si>
    <t>MAXSIS SPA.</t>
  </si>
  <si>
    <t>CLAUDIO FERNANDEZ MUÑOZ</t>
  </si>
  <si>
    <t>REPOSICION DE REJILLAS AGUA LLUVIAS Y MARCO METALICO, DAÑADOS EN PASOS PEATONALES. SON 5 PUNTOS DIFERENTES</t>
  </si>
  <si>
    <t>Camino Agua del padre 6776</t>
  </si>
  <si>
    <t>Av. Presidente Kennedy 5488</t>
  </si>
  <si>
    <t>INSTALACION DE DUCTOS Y CONSTRUCCION DE CAMARAS PARA RED ELECTRICA</t>
  </si>
  <si>
    <t>General John O’Brien 2465</t>
  </si>
  <si>
    <t>FRANCISCO DE AGUIRRE SPA</t>
  </si>
  <si>
    <t>CONSTRUCTORA H. LTDA</t>
  </si>
  <si>
    <t>SOLICITUD DE OCUPACION DE BIEN NACIONAL DE USO PÚBLICO PARA DESCARGAS TRANSITORIAS.</t>
  </si>
  <si>
    <t>DIRECCIÓN</t>
  </si>
  <si>
    <t>MANDANTE</t>
  </si>
  <si>
    <t>EMPRESA</t>
  </si>
  <si>
    <t>FECH. INICIO</t>
  </si>
  <si>
    <t>DÍAS</t>
  </si>
  <si>
    <t>FECH. TÉRMINO</t>
  </si>
  <si>
    <t>TIPO DE TRABAJO</t>
  </si>
  <si>
    <t>PRÓRROGA</t>
  </si>
  <si>
    <t>Via Gris 9815</t>
  </si>
  <si>
    <t>AMERICAN LEADER GROUP S. A</t>
  </si>
  <si>
    <t>Patricio Gutierrez Valenzuela</t>
  </si>
  <si>
    <t>Ejecución proyecto de pavimentación Serviu r m N° 76968, acceso vehicular, vía Gris 9815</t>
  </si>
  <si>
    <t>Avda. Luis Pasteur 5256</t>
  </si>
  <si>
    <t>CLUB DE GOLF LOS LEONES</t>
  </si>
  <si>
    <t>M&amp;R Erraño Hermanos SPA</t>
  </si>
  <si>
    <t>Se limpiará el sector de Arturo Ureta esquina Vitacura y el sector de la plaza de Luis Pasteur esquina Vitacura con el fin que no haya rebalse de agua hacia la calzada en verano. En la plaza se encuentran 3 cámaras de inspección las cuales se limpiarán una por día para bloquear lo menos posible el transito de peatones. En calle Arturo Ureta es lo mismo, pero solo en la cámara de inspección de la esquina.</t>
  </si>
  <si>
    <t>Avda. Vitacura 5315</t>
  </si>
  <si>
    <t>DB TIERRA CHILE HOLDCO SPA.</t>
  </si>
  <si>
    <t>Servicios ryc spa</t>
  </si>
  <si>
    <t>Ejecución de cable de fibra óptica mediante el uso de la postación eléctrica existente, sin intervención de la calzada ni excavaciones.</t>
  </si>
  <si>
    <t>Dag Hammarskjöld 3050</t>
  </si>
  <si>
    <t>FUNDACION PARA EL ARTE Y LA CULTURA CLUDIO ENGEL E HIJOS.</t>
  </si>
  <si>
    <t>EBCO S.A</t>
  </si>
  <si>
    <t>La presente solicitud tiene por objeto la renovación de la autorización para ocupar una superficie aproximadamente de 8.728,2mts.c. de Bien Nacional de Uso Público, correspondiente a espacio municipal en le comuna de Vitacura. Dicha superficie esta siendo utilizada actualmente en la instalación de faenas temporales asociadas a la construcción del Nuevo Museo de Santiago de la Fundación Engel, como a la ejecución de la obra propiamente tal.</t>
  </si>
  <si>
    <t>Los Rododendros 10027</t>
  </si>
  <si>
    <t>MUNICIPALIDAD DE VITACURA</t>
  </si>
  <si>
    <t>ISRAEL VELIZ</t>
  </si>
  <si>
    <t>La obra corresponde a la ejecución de trabajos de mejoramiento y adecuación de un espacio público en la comuna de Vitacura, considerando obras civiles, habilitación de infraestructura, además de intervenciones de camiones de hormigón.</t>
  </si>
  <si>
    <t>INMOBILIARIA SECURITY NUEVE SPA.
Representante legal Rafael Carvajal.</t>
  </si>
  <si>
    <t>La zona a intervenir corresponde a ejecución de acera de hormigón lado poniente de calle Benito Juarez, frente a edificio entre Avda. Pdte. Kennedy lateral y Fernando de Arguello, sector actual la plaza en maicillo. Excavación en zona maicillo.</t>
  </si>
  <si>
    <t>El Canal 8389</t>
  </si>
  <si>
    <t>Ingeniería y Construcción DAF. Spa</t>
  </si>
  <si>
    <t>Construcción de acceso vehicular. Proyecto Serviu N° 74198, con sus respectivos pavimentos, aceras peatonales, solución de aguas lluvias y conexión a red de agua potable, arranque matriz existente.</t>
  </si>
  <si>
    <t>Camoens 6375</t>
  </si>
  <si>
    <t>AROM SERVICIOS E INSTALACION EIRL.</t>
  </si>
  <si>
    <t>Retiro de Empalme. Cortar empalme suministro de gas. Para la realización del proyecto es necesaria la demolición de acera y realizar excavaciones.</t>
  </si>
  <si>
    <t>Antupirén 696</t>
  </si>
  <si>
    <t>Instalación de Empalme de gas Natural, se requiere instalar un empalme de gas natural a petición del propietario del inmueble indicado en la solicitud.</t>
  </si>
  <si>
    <t>Rafael Maluenda 1564</t>
  </si>
  <si>
    <t>Arom servicios e instalación EIRL</t>
  </si>
  <si>
    <t>Vía Aurora 9255</t>
  </si>
  <si>
    <t>Inmobiliaria Arboleda spa</t>
  </si>
  <si>
    <t>Inversiones fosam SPA.</t>
  </si>
  <si>
    <t>Por medio de la presente, me dirijo a ustedes para solicitar nuevamente su autorización para, ejecutar un rebaje de solera en calle Vía Aurora, en el acceso correspondiente a la etapa 4.</t>
  </si>
  <si>
    <t>Pedro de Villagra 2650</t>
  </si>
  <si>
    <t>Inmobiliaria Orbe Alonso de Córdova SPA.
R. Legal; Manuel Gonzalez Pellegrini</t>
  </si>
  <si>
    <t>Constructora H SpA.</t>
  </si>
  <si>
    <t>Cierre de calle por retiro de grúa pluma.</t>
  </si>
  <si>
    <t>Avda. Americo Vespucio 2055</t>
  </si>
  <si>
    <t>Juan XXIII 6260</t>
  </si>
  <si>
    <t>Servicios r y c spa</t>
  </si>
  <si>
    <t>Las Hualtatas 7981</t>
  </si>
  <si>
    <t>Instalación de Empalme</t>
  </si>
  <si>
    <t>Juan Bautista Pastene 3900</t>
  </si>
  <si>
    <t>Cia. De seguros de vida Consorcio Nac. Seguros S.A.</t>
  </si>
  <si>
    <t>Constructora Socovalle Ltda.</t>
  </si>
  <si>
    <t>Las obras correspondientes al proyecto se encuentran aprobadas mediante Modificación de proyecto de edificación (MP).</t>
  </si>
  <si>
    <t>Las Encinas 6201</t>
  </si>
  <si>
    <t>Aguas Cordillera</t>
  </si>
  <si>
    <t>COPERGO LTDA</t>
  </si>
  <si>
    <t>Instalación de arranque AP en pista Sur mas camión para carga y descarga</t>
  </si>
  <si>
    <t>Cadaqués 392</t>
  </si>
  <si>
    <t>Metrogas S.A</t>
  </si>
  <si>
    <t>EMPALME RED DE GAS NATURAL. Se requiere instalar un empalme de gas natural a petición del propietario del inmueble indicando en la solicitud.</t>
  </si>
  <si>
    <t>Camoens 6344</t>
  </si>
  <si>
    <t>Retiro de Empalme. Cortar empalme suministro de gas. Para la realización del proyecto es necesaria la demolición de acera y realizar excavaciones</t>
  </si>
  <si>
    <t>Rafael Maluenda (Interior) 1557</t>
  </si>
  <si>
    <t>Se limpiará el sector de Arturo Ureta esquina Vitacura y el sector de la plaza de Luis Pasteur esquina Vitacura con el fin que no haya rebalse de agua hacia la calzada en verano. En la plaza se encuentran 3 cámaras de inspección las cuales se limpiarán una por día para bloquear lo menos posible el transito de peatones. En calle Arturo Ureta es lo mismo, pero solo en la cámara de inspección de la esquina</t>
  </si>
  <si>
    <t>Cierre de calle por retiro de grúa pluma</t>
  </si>
  <si>
    <t>General John O´Brien 3345</t>
  </si>
  <si>
    <t>Enel S. A</t>
  </si>
  <si>
    <t>N°</t>
  </si>
  <si>
    <t>VIGENCIA</t>
  </si>
  <si>
    <t>Aguas Cordillera S.A.</t>
  </si>
  <si>
    <t>CIA. DE SEGUROS DE VIDA CONSORCIO NAC.SEGUROS S.A.
Ricardo Ortuzar
Mall Casa Costanera</t>
  </si>
  <si>
    <t>Inm. y Constructora Club de Campo S.A</t>
  </si>
  <si>
    <t>UV-A13</t>
  </si>
  <si>
    <t>UV-A6</t>
  </si>
  <si>
    <t>UV-A10</t>
  </si>
  <si>
    <t>UV-A1</t>
  </si>
  <si>
    <t>UV-A2</t>
  </si>
  <si>
    <t>UV-A7</t>
  </si>
  <si>
    <t>UV-A4</t>
  </si>
  <si>
    <t>UV-A12</t>
  </si>
  <si>
    <t>UV-A5</t>
  </si>
  <si>
    <t>UV-A3</t>
  </si>
  <si>
    <t>Sector 1</t>
  </si>
  <si>
    <t>Sector 2</t>
  </si>
  <si>
    <t>Sector 3</t>
  </si>
  <si>
    <t>Michel Guajardo Díaz</t>
  </si>
  <si>
    <t xml:space="preserve"> Colación</t>
  </si>
  <si>
    <t>Colación</t>
  </si>
  <si>
    <t>Fiscalización 5</t>
  </si>
  <si>
    <t>Fiscalización 6</t>
  </si>
  <si>
    <t>Rodolfo Pastene</t>
  </si>
  <si>
    <t>Jorge Espinoza</t>
  </si>
  <si>
    <t>Jorge Espinoza Salgado</t>
  </si>
  <si>
    <t>Rodolfo Pastene Astudillo</t>
  </si>
  <si>
    <t>Apoyo ruta Rodolfo</t>
  </si>
  <si>
    <t>FISCALIZACIÓN GRUPO 1</t>
  </si>
  <si>
    <t>FISCALIZACIÓN GRUPO 2</t>
  </si>
  <si>
    <t>Jorge Nuñez Cornejo</t>
  </si>
  <si>
    <t>Alexis Bustamante Olguín</t>
  </si>
  <si>
    <t>TURNOS INSPECTORES GRUPO 1</t>
  </si>
  <si>
    <t xml:space="preserve">Fiscalización </t>
  </si>
  <si>
    <t>Marte</t>
  </si>
  <si>
    <t>Miercoles</t>
  </si>
  <si>
    <t xml:space="preserve">Fecha Inicio </t>
  </si>
  <si>
    <t xml:space="preserve">Fecha Término </t>
  </si>
  <si>
    <t>Otras Fiscalizaciones</t>
  </si>
  <si>
    <t>N/A</t>
  </si>
  <si>
    <t>Escribano Diego Rutal 2183</t>
  </si>
  <si>
    <t>Realizado</t>
  </si>
  <si>
    <t>Árbol con riesgo de caída</t>
  </si>
  <si>
    <t>En Ruta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</si>
</sst>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1F4E79"/>
      <name val="Calibri"/>
      <family val="2"/>
    </font>
    <font>
      <i/>
      <sz val="11"/>
      <color rgb="FF595959"/>
      <name val="Calibri"/>
      <family val="2"/>
    </font>
    <font>
      <b/>
      <sz val="11"/>
      <name val="Calibri"/>
      <family val="2"/>
    </font>
    <font>
      <sz val="11"/>
      <name val="Calibri"/>
      <family val="2"/>
    </font>
    <font>
      <b/>
      <sz val="11"/>
      <color rgb="FFFFFFFF"/>
      <name val="Calibri"/>
      <family val="2"/>
    </font>
    <font>
      <b/>
      <sz val="11"/>
      <color theme="1"/>
      <name val="Calibri"/>
      <family val="2"/>
      <scheme val="minor"/>
    </font>
    <font>
      <sz val="9"/>
      <color theme="1"/>
      <name val="Calibri"/>
      <family val="2"/>
      <scheme val="minor"/>
    </font>
    <font>
      <sz val="11"/>
      <name val="Calibri"/>
      <family val="2"/>
      <scheme val="minor"/>
    </font>
    <font>
      <sz val="8"/>
      <name val="Calibri"/>
      <family val="2"/>
      <scheme val="minor"/>
    </font>
    <font>
      <b/>
      <sz val="14"/>
      <color theme="3"/>
      <name val="Calibri"/>
      <family val="2"/>
      <scheme val="minor"/>
    </font>
    <font>
      <b/>
      <sz val="16"/>
      <color theme="3"/>
      <name val="Calibri"/>
      <family val="2"/>
      <scheme val="minor"/>
    </font>
    <font>
      <b/>
      <sz val="11"/>
      <color theme="0"/>
      <name val="Calibri"/>
      <family val="2"/>
      <scheme val="minor"/>
    </font>
    <font>
      <b/>
      <sz val="14"/>
      <color theme="4" tint="-0.249977111117893"/>
      <name val="Calibri"/>
      <family val="2"/>
      <scheme val="minor"/>
    </font>
  </fonts>
  <fills count="9">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AAE571"/>
        <bgColor indexed="64"/>
      </patternFill>
    </fill>
    <fill>
      <patternFill patternType="solid">
        <fgColor theme="2"/>
        <bgColor indexed="64"/>
      </patternFill>
    </fill>
    <fill>
      <patternFill patternType="solid">
        <fgColor rgb="FFFFFF00"/>
        <bgColor indexed="64"/>
      </patternFill>
    </fill>
    <fill>
      <patternFill patternType="solid">
        <fgColor theme="4" tint="-0.249977111117893"/>
        <bgColor rgb="FF1F4E79"/>
      </patternFill>
    </fill>
    <fill>
      <patternFill patternType="solid">
        <fgColor theme="4" tint="-0.249977111117893"/>
        <bgColor indexed="64"/>
      </patternFill>
    </fill>
  </fills>
  <borders count="21">
    <border>
      <left/>
      <right/>
      <top/>
      <bottom/>
      <diagonal/>
    </border>
    <border>
      <left style="thin">
        <color rgb="FFBFBFBF"/>
      </left>
      <right style="thin">
        <color rgb="FFBFBFBF"/>
      </right>
      <top style="medium">
        <color rgb="FF000000"/>
      </top>
      <bottom style="medium">
        <color rgb="FF000000"/>
      </bottom>
      <diagonal/>
    </border>
    <border>
      <left style="thin">
        <color rgb="FFBFBFBF"/>
      </left>
      <right style="thin">
        <color rgb="FFBFBFBF"/>
      </right>
      <top style="thin">
        <color rgb="FFBFBFBF"/>
      </top>
      <bottom style="thin">
        <color rgb="FFBFBFBF"/>
      </bottom>
      <diagonal/>
    </border>
    <border>
      <left/>
      <right/>
      <top style="thin">
        <color rgb="FF1F4E79"/>
      </top>
      <bottom style="medium">
        <color rgb="FF1F4E79"/>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rgb="FFBFBFBF"/>
      </left>
      <right/>
      <top/>
      <bottom/>
      <diagonal/>
    </border>
    <border>
      <left style="thin">
        <color rgb="FFBFBFBF"/>
      </left>
      <right style="thin">
        <color rgb="FFBFBFBF"/>
      </right>
      <top/>
      <bottom style="medium">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FBFBF"/>
      </left>
      <right style="thin">
        <color rgb="FFBFBFBF"/>
      </right>
      <top style="medium">
        <color rgb="FF1F4E79"/>
      </top>
      <bottom/>
      <diagonal/>
    </border>
    <border>
      <left style="thin">
        <color rgb="FFBFBFBF"/>
      </left>
      <right style="thin">
        <color rgb="FFBFBFBF"/>
      </right>
      <top/>
      <bottom/>
      <diagonal/>
    </border>
    <border>
      <left style="thin">
        <color rgb="FFBFBFBF"/>
      </left>
      <right style="thin">
        <color rgb="FFBFBFBF"/>
      </right>
      <top/>
      <bottom style="thin">
        <color rgb="FF1F4E79"/>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000000"/>
      </top>
      <bottom/>
      <diagonal/>
    </border>
  </borders>
  <cellStyleXfs count="1">
    <xf numFmtId="0" fontId="0" fillId="0" borderId="0"/>
  </cellStyleXfs>
  <cellXfs count="61">
    <xf numFmtId="0" fontId="0" fillId="0" borderId="0" xfId="0"/>
    <xf numFmtId="0" fontId="3" fillId="0" borderId="0" xfId="0" applyFont="1"/>
    <xf numFmtId="0" fontId="5" fillId="2" borderId="1" xfId="0" applyFont="1" applyFill="1" applyBorder="1" applyAlignment="1">
      <alignment horizontal="center" vertical="center" wrapText="1"/>
    </xf>
    <xf numFmtId="0" fontId="4" fillId="0" borderId="2" xfId="0" applyFont="1" applyBorder="1" applyAlignment="1">
      <alignment horizontal="left" vertical="center"/>
    </xf>
    <xf numFmtId="0" fontId="4" fillId="0" borderId="2" xfId="0" applyFont="1" applyBorder="1" applyAlignment="1">
      <alignment horizontal="center" vertical="center"/>
    </xf>
    <xf numFmtId="20" fontId="4" fillId="0" borderId="2" xfId="0" applyNumberFormat="1" applyFont="1" applyBorder="1" applyAlignment="1">
      <alignment horizontal="center" vertical="center"/>
    </xf>
    <xf numFmtId="14" fontId="4" fillId="0" borderId="0" xfId="0" applyNumberFormat="1" applyFont="1" applyAlignment="1">
      <alignment horizontal="center"/>
    </xf>
    <xf numFmtId="14" fontId="0" fillId="0" borderId="0" xfId="0" applyNumberFormat="1"/>
    <xf numFmtId="0" fontId="0" fillId="0" borderId="0" xfId="0" applyAlignment="1">
      <alignment horizontal="center"/>
    </xf>
    <xf numFmtId="0" fontId="0" fillId="0" borderId="0" xfId="0" applyAlignment="1">
      <alignment wrapText="1"/>
    </xf>
    <xf numFmtId="0" fontId="7" fillId="0" borderId="0" xfId="0" applyFont="1"/>
    <xf numFmtId="0" fontId="0" fillId="4" borderId="0" xfId="0" applyFill="1"/>
    <xf numFmtId="0" fontId="6" fillId="4" borderId="0" xfId="0" applyFont="1" applyFill="1"/>
    <xf numFmtId="0" fontId="6" fillId="4" borderId="0" xfId="0" applyFont="1" applyFill="1" applyAlignment="1">
      <alignment wrapText="1"/>
    </xf>
    <xf numFmtId="14" fontId="6" fillId="4" borderId="0" xfId="0" applyNumberFormat="1" applyFont="1" applyFill="1"/>
    <xf numFmtId="0" fontId="6" fillId="4" borderId="0" xfId="0" applyFont="1" applyFill="1" applyAlignment="1">
      <alignment horizontal="center"/>
    </xf>
    <xf numFmtId="14" fontId="8" fillId="0" borderId="0" xfId="0" applyNumberFormat="1" applyFont="1"/>
    <xf numFmtId="0" fontId="4" fillId="0" borderId="2" xfId="0" applyFont="1" applyBorder="1" applyAlignment="1">
      <alignment horizontal="center" vertical="center" wrapText="1"/>
    </xf>
    <xf numFmtId="0" fontId="0" fillId="5" borderId="0" xfId="0" applyFill="1"/>
    <xf numFmtId="0" fontId="0" fillId="5" borderId="0" xfId="0" applyFill="1" applyAlignment="1">
      <alignment wrapText="1"/>
    </xf>
    <xf numFmtId="0" fontId="6" fillId="0" borderId="0" xfId="0" applyFont="1"/>
    <xf numFmtId="0" fontId="3" fillId="0" borderId="2" xfId="0" applyFont="1" applyBorder="1" applyAlignment="1">
      <alignment horizontal="center" vertical="center"/>
    </xf>
    <xf numFmtId="0" fontId="4" fillId="6" borderId="2" xfId="0" applyFont="1" applyFill="1" applyBorder="1" applyAlignment="1">
      <alignment horizontal="center" vertical="center"/>
    </xf>
    <xf numFmtId="20" fontId="4" fillId="6" borderId="2" xfId="0" applyNumberFormat="1"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4" fillId="0" borderId="7" xfId="0" applyFont="1" applyBorder="1" applyAlignment="1">
      <alignment horizontal="left" vertical="center"/>
    </xf>
    <xf numFmtId="0" fontId="4" fillId="6" borderId="8" xfId="0" applyFont="1" applyFill="1" applyBorder="1" applyAlignment="1">
      <alignment horizontal="center" vertical="center"/>
    </xf>
    <xf numFmtId="20" fontId="4" fillId="6" borderId="8" xfId="0" applyNumberFormat="1" applyFont="1" applyFill="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left" vertical="center"/>
    </xf>
    <xf numFmtId="0" fontId="4" fillId="0" borderId="11" xfId="0" applyFont="1" applyBorder="1" applyAlignment="1">
      <alignment horizontal="center" vertical="center"/>
    </xf>
    <xf numFmtId="20" fontId="4" fillId="0" borderId="11" xfId="0" applyNumberFormat="1" applyFont="1" applyBorder="1" applyAlignment="1">
      <alignment horizontal="center" vertical="center"/>
    </xf>
    <xf numFmtId="0" fontId="4" fillId="0" borderId="12" xfId="0" applyFont="1" applyBorder="1" applyAlignment="1">
      <alignment horizontal="center" vertical="center"/>
    </xf>
    <xf numFmtId="0" fontId="5" fillId="7" borderId="0" xfId="0" applyFont="1" applyFill="1" applyAlignment="1">
      <alignment horizontal="center" vertical="center" wrapText="1"/>
    </xf>
    <xf numFmtId="0" fontId="5" fillId="7" borderId="1" xfId="0" applyFont="1" applyFill="1" applyBorder="1" applyAlignment="1">
      <alignment horizontal="center" vertical="center" wrapText="1"/>
    </xf>
    <xf numFmtId="0" fontId="12" fillId="8" borderId="0" xfId="0" applyFont="1" applyFill="1" applyAlignment="1">
      <alignment horizontal="center" vertical="center"/>
    </xf>
    <xf numFmtId="0" fontId="5" fillId="7" borderId="14" xfId="0" applyFont="1" applyFill="1" applyBorder="1" applyAlignment="1">
      <alignment horizontal="center" vertical="center" wrapText="1"/>
    </xf>
    <xf numFmtId="0" fontId="4" fillId="0" borderId="0" xfId="0" applyFont="1" applyAlignment="1">
      <alignment horizontal="center" vertical="center"/>
    </xf>
    <xf numFmtId="20" fontId="4"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center" vertical="center"/>
    </xf>
    <xf numFmtId="0" fontId="0" fillId="0" borderId="0" xfId="0"/>
    <xf numFmtId="0" fontId="0" fillId="3" borderId="3" xfId="0" applyFill="1" applyBorder="1"/>
    <xf numFmtId="0" fontId="2" fillId="0" borderId="0" xfId="0" applyFont="1" applyAlignment="1">
      <alignment horizontal="center"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14" fontId="0" fillId="0" borderId="0" xfId="0" applyNumberFormat="1" applyAlignment="1">
      <alignment horizontal="left"/>
    </xf>
    <xf numFmtId="0" fontId="6" fillId="3" borderId="3" xfId="0" applyFont="1" applyFill="1" applyBorder="1" applyAlignment="1">
      <alignment horizontal="center"/>
    </xf>
    <xf numFmtId="0" fontId="11"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4" fillId="0" borderId="16" xfId="0" applyFont="1" applyBorder="1" applyAlignment="1">
      <alignment horizontal="center" vertical="center"/>
    </xf>
    <xf numFmtId="0" fontId="4" fillId="0" borderId="19" xfId="0" applyFont="1" applyBorder="1" applyAlignment="1">
      <alignment horizontal="center" vertical="center"/>
    </xf>
    <xf numFmtId="0" fontId="13" fillId="0" borderId="0" xfId="0" applyFont="1" applyAlignment="1">
      <alignment horizontal="center"/>
    </xf>
    <xf numFmtId="0" fontId="0" fillId="0" borderId="13" xfId="0" applyBorder="1" applyAlignment="1">
      <alignment horizontal="center"/>
    </xf>
    <xf numFmtId="0" fontId="0" fillId="0" borderId="15" xfId="0" applyBorder="1" applyAlignment="1">
      <alignment horizontal="center"/>
    </xf>
    <xf numFmtId="0" fontId="5" fillId="7" borderId="17" xfId="0" applyFont="1" applyFill="1" applyBorder="1" applyAlignment="1">
      <alignment horizontal="center" vertical="center" wrapText="1"/>
    </xf>
  </cellXfs>
  <cellStyles count="1">
    <cellStyle name="Normal" xfId="0" builtinId="0"/>
  </cellStyles>
  <dxfs count="90">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ill>
        <patternFill>
          <bgColor theme="6" tint="0.39994506668294322"/>
        </patternFill>
      </fill>
    </dxf>
    <dxf>
      <fill>
        <patternFill>
          <bgColor theme="6" tint="0.59996337778862885"/>
        </patternFill>
      </fill>
    </dxf>
    <dxf>
      <fill>
        <patternFill>
          <bgColor theme="6" tint="0.79998168889431442"/>
        </patternFill>
      </fill>
    </dxf>
    <dxf>
      <fill>
        <patternFill>
          <bgColor theme="9" tint="0.79998168889431442"/>
        </patternFill>
      </fill>
    </dxf>
    <dxf>
      <fill>
        <patternFill>
          <bgColor theme="8" tint="0.79998168889431442"/>
        </patternFill>
      </fill>
    </dxf>
    <dxf>
      <font>
        <color rgb="FF9C5700"/>
      </font>
      <fill>
        <patternFill>
          <bgColor rgb="FFFFEB9C"/>
        </patternFill>
      </fill>
    </dxf>
    <dxf>
      <font>
        <color rgb="FF9C0006"/>
      </font>
      <fill>
        <patternFill>
          <bgColor rgb="FFFFC7CE"/>
        </patternFill>
      </fill>
    </dxf>
    <dxf>
      <fill>
        <patternFill>
          <bgColor theme="6" tint="0.39994506668294322"/>
        </patternFill>
      </fill>
    </dxf>
    <dxf>
      <fill>
        <patternFill>
          <bgColor theme="6" tint="0.59996337778862885"/>
        </patternFill>
      </fill>
    </dxf>
    <dxf>
      <fill>
        <patternFill>
          <bgColor theme="6" tint="0.79998168889431442"/>
        </patternFill>
      </fill>
    </dxf>
    <dxf>
      <fill>
        <patternFill>
          <bgColor theme="9" tint="0.79998168889431442"/>
        </patternFill>
      </fill>
    </dxf>
    <dxf>
      <fill>
        <patternFill>
          <bgColor theme="8" tint="0.79998168889431442"/>
        </patternFill>
      </fill>
    </dxf>
    <dxf>
      <font>
        <b/>
        <color rgb="FFC65911"/>
      </font>
      <fill>
        <patternFill patternType="solid">
          <fgColor rgb="FFFCE4D6"/>
          <bgColor rgb="FFFCE4D6"/>
        </patternFill>
      </fill>
    </dxf>
    <dxf>
      <font>
        <b/>
        <color rgb="FFB2A100"/>
      </font>
      <fill>
        <patternFill patternType="solid">
          <fgColor rgb="FFFFF2CC"/>
          <bgColor rgb="FFFFF2CC"/>
        </patternFill>
      </fill>
    </dxf>
    <dxf>
      <font>
        <b/>
        <color rgb="FF375623"/>
      </font>
      <fill>
        <patternFill patternType="solid">
          <fgColor rgb="FFE2EFDA"/>
          <bgColor rgb="FFE2EFDA"/>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ont>
        <b/>
        <color rgb="FFC65911"/>
      </font>
      <fill>
        <patternFill patternType="solid">
          <fgColor rgb="FFFCE4D6"/>
          <bgColor rgb="FFFCE4D6"/>
        </patternFill>
      </fill>
    </dxf>
    <dxf>
      <font>
        <b/>
        <color rgb="FFB2A100"/>
      </font>
      <fill>
        <patternFill patternType="solid">
          <fgColor rgb="FFFFF2CC"/>
          <bgColor rgb="FFFFF2CC"/>
        </patternFill>
      </fill>
    </dxf>
    <dxf>
      <font>
        <b/>
        <color rgb="FF375623"/>
      </font>
      <fill>
        <patternFill patternType="solid">
          <fgColor rgb="FFE2EFDA"/>
          <bgColor rgb="FFE2EFDA"/>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ont>
        <b/>
        <color rgb="FFC65911"/>
      </font>
      <fill>
        <patternFill patternType="solid">
          <fgColor rgb="FFFCE4D6"/>
          <bgColor rgb="FFFCE4D6"/>
        </patternFill>
      </fill>
    </dxf>
    <dxf>
      <font>
        <b/>
        <color rgb="FFB2A100"/>
      </font>
      <fill>
        <patternFill patternType="solid">
          <fgColor rgb="FFFFF2CC"/>
          <bgColor rgb="FFFFF2CC"/>
        </patternFill>
      </fill>
    </dxf>
    <dxf>
      <font>
        <b/>
        <color rgb="FF375623"/>
      </font>
      <fill>
        <patternFill patternType="solid">
          <fgColor rgb="FFE2EFDA"/>
          <bgColor rgb="FFE2EFDA"/>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ont>
        <b/>
        <color rgb="FFC65911"/>
      </font>
      <fill>
        <patternFill patternType="solid">
          <fgColor rgb="FFFCE4D6"/>
          <bgColor rgb="FFFCE4D6"/>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375623"/>
      </font>
      <fill>
        <patternFill patternType="solid">
          <fgColor rgb="FFE2EFDA"/>
          <bgColor rgb="FFE2EFDA"/>
        </patternFill>
      </fill>
    </dxf>
    <dxf>
      <font>
        <b/>
        <color rgb="FFB2A100"/>
      </font>
      <fill>
        <patternFill patternType="solid">
          <fgColor rgb="FFFFF2CC"/>
          <bgColor rgb="FFFFF2CC"/>
        </patternFill>
      </fill>
    </dxf>
    <dxf>
      <font>
        <b/>
        <color rgb="FFC65911"/>
      </font>
      <fill>
        <patternFill patternType="solid">
          <fgColor rgb="FFFCE4D6"/>
          <bgColor rgb="FFFCE4D6"/>
        </patternFill>
      </fill>
    </dxf>
    <dxf>
      <fill>
        <patternFill>
          <bgColor theme="6" tint="0.39994506668294322"/>
        </patternFill>
      </fill>
    </dxf>
    <dxf>
      <fill>
        <patternFill>
          <bgColor theme="8" tint="0.79998168889431442"/>
        </patternFill>
      </fill>
    </dxf>
    <dxf>
      <fill>
        <patternFill>
          <bgColor theme="9" tint="0.79998168889431442"/>
        </patternFill>
      </fill>
    </dxf>
    <dxf>
      <fill>
        <patternFill>
          <bgColor theme="6" tint="0.79998168889431442"/>
        </patternFill>
      </fill>
    </dxf>
    <dxf>
      <fill>
        <patternFill>
          <bgColor theme="6" tint="0.59996337778862885"/>
        </patternFill>
      </fill>
    </dxf>
    <dxf>
      <fill>
        <patternFill>
          <bgColor theme="6" tint="0.79998168889431442"/>
        </patternFill>
      </fill>
    </dxf>
    <dxf>
      <fill>
        <patternFill>
          <bgColor theme="9" tint="0.79998168889431442"/>
        </patternFill>
      </fill>
    </dxf>
    <dxf>
      <fill>
        <patternFill>
          <bgColor theme="6" tint="0.39994506668294322"/>
        </patternFill>
      </fill>
    </dxf>
    <dxf>
      <fill>
        <patternFill>
          <bgColor theme="6" tint="0.59996337778862885"/>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79998168889431442"/>
        </patternFill>
      </fill>
    </dxf>
    <dxf>
      <fill>
        <patternFill>
          <bgColor theme="9" tint="0.79998168889431442"/>
        </patternFill>
      </fill>
    </dxf>
    <dxf>
      <fill>
        <patternFill>
          <bgColor theme="8" tint="0.79998168889431442"/>
        </patternFill>
      </fill>
    </dxf>
    <dxf>
      <fill>
        <patternFill>
          <bgColor theme="6" tint="0.79998168889431442"/>
        </patternFill>
      </fill>
    </dxf>
    <dxf>
      <fill>
        <patternFill>
          <bgColor theme="9" tint="0.79998168889431442"/>
        </patternFill>
      </fill>
    </dxf>
    <dxf>
      <fill>
        <patternFill>
          <bgColor theme="8" tint="0.79998168889431442"/>
        </patternFill>
      </fill>
    </dxf>
    <dxf>
      <fill>
        <patternFill>
          <bgColor theme="6" tint="0.39994506668294322"/>
        </patternFill>
      </fill>
    </dxf>
    <dxf>
      <fill>
        <patternFill>
          <bgColor theme="6" tint="0.59996337778862885"/>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8" tint="0.79998168889431442"/>
        </patternFill>
      </fill>
    </dxf>
    <dxf>
      <fill>
        <patternFill>
          <bgColor theme="9" tint="0.79998168889431442"/>
        </patternFill>
      </fill>
    </dxf>
    <dxf>
      <fill>
        <patternFill>
          <bgColor theme="9" tint="0.79998168889431442"/>
        </patternFill>
      </fill>
    </dxf>
    <dxf>
      <fill>
        <patternFill>
          <bgColor theme="6" tint="0.59996337778862885"/>
        </patternFill>
      </fill>
    </dxf>
    <dxf>
      <fill>
        <patternFill>
          <bgColor theme="6" tint="0.79998168889431442"/>
        </patternFill>
      </fill>
    </dxf>
    <dxf>
      <fill>
        <patternFill>
          <bgColor theme="6" tint="0.39994506668294322"/>
        </patternFill>
      </fill>
    </dxf>
    <dxf>
      <fill>
        <patternFill>
          <bgColor theme="8" tint="0.79998168889431442"/>
        </patternFill>
      </fill>
    </dxf>
    <dxf>
      <fill>
        <patternFill>
          <bgColor theme="9" tint="0.79998168889431442"/>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6" tint="0.79998168889431442"/>
        </patternFill>
      </fill>
    </dxf>
    <dxf>
      <fill>
        <patternFill>
          <bgColor theme="6" tint="0.59996337778862885"/>
        </patternFill>
      </fill>
    </dxf>
    <dxf>
      <fill>
        <patternFill>
          <bgColor theme="6" tint="0.39994506668294322"/>
        </patternFill>
      </fill>
    </dxf>
  </dxfs>
  <tableStyles count="0" defaultTableStyle="TableStyleMedium9" defaultPivotStyle="PivotStyleLight16"/>
  <colors>
    <mruColors>
      <color rgb="FF003366"/>
      <color rgb="FFFF66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 dockstate="right" visibility="0" width="350"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28375C0-79E5-4D0A-BF45-A680D0809B03}">
  <we:reference id="29673e3c-d826-4f00-92ee-162334a52b1a" version="1.0.0.8" store="EXCatalog" storeType="EXCatalog"/>
  <we:alternateReferences>
    <we:reference id="WA200009404" version="1.0.0.8" store="es-ES" storeType="OMEX"/>
  </we:alternateReferences>
  <we:properties>
    <we:property name="claude.fileId" value="&quot;b764346b-5db5-4c7b-9b28-26f36c6f27eb&quot;"/>
  </we:properties>
  <we:bindings/>
  <we:snapshot xmlns:r="http://schemas.openxmlformats.org/officeDocument/2006/relationships"/>
</we:webextension>
</file>

<file path=xl/webextensions/webextension2.xml><?xml version="1.0" encoding="utf-8"?>
<we:webextension xmlns:we="http://schemas.microsoft.com/office/webextensions/webextension/2010/11" id="{AD228719-16E9-488B-966F-1AC311BFC073}">
  <we:reference id="cba9fc06-6fc9-492e-9525-923870a3b909" version="2.0.0.1" store="EXCatalog" storeType="EXCatalog"/>
  <we:alternateReferences>
    <we:reference id="WA200010215" version="2.0.0.1" store="es-ES"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9BC34481-0B3D-411F-9DBB-4DA6485D110D}">
  <we:reference id="11d7cf85-ae5a-43b8-bc58-1e1a151cce24" version="1.0.0.1" store="EXCatalog" storeType="EXCatalog"/>
  <we:alternateReferences>
    <we:reference id="WA200010725" version="1.0.0.1" store="es-ES" storeType="OMEX"/>
  </we:alternateReferences>
  <we:properties>
    <we:property name="claude.fileId" value="&quot;8d626709-95ff-4a06-8ac7-9bf643e41cc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5"/>
  <sheetViews>
    <sheetView tabSelected="1" topLeftCell="B12" zoomScale="98" zoomScaleNormal="98" workbookViewId="0">
      <selection activeCell="L47" sqref="L47"/>
    </sheetView>
  </sheetViews>
  <sheetFormatPr baseColWidth="10" defaultColWidth="8.7109375" defaultRowHeight="15" x14ac:dyDescent="0.25"/>
  <cols>
    <col min="1" max="1" width="22.5703125" customWidth="1"/>
    <col min="2" max="2" width="11.5703125" customWidth="1"/>
    <col min="3" max="3" width="5.7109375" bestFit="1" customWidth="1"/>
    <col min="4" max="4" width="10.7109375" hidden="1" customWidth="1"/>
    <col min="5" max="5" width="8.5703125" hidden="1" customWidth="1"/>
    <col min="6" max="6" width="6.140625" customWidth="1"/>
    <col min="7" max="7" width="8.140625" customWidth="1"/>
    <col min="8" max="8" width="9" style="20" customWidth="1"/>
    <col min="9" max="9" width="6.28515625" customWidth="1"/>
    <col min="10" max="10" width="17.140625" customWidth="1"/>
    <col min="11" max="11" width="11" customWidth="1"/>
    <col min="12" max="12" width="9.28515625" style="20" bestFit="1" customWidth="1"/>
    <col min="13" max="13" width="6.5703125" customWidth="1"/>
    <col min="14" max="14" width="18" customWidth="1"/>
    <col min="15" max="15" width="10.85546875" customWidth="1"/>
    <col min="16" max="16" width="8.7109375" style="20" customWidth="1"/>
    <col min="17" max="17" width="6.28515625" customWidth="1"/>
    <col min="18" max="18" width="21.28515625" customWidth="1"/>
    <col min="19" max="19" width="10.42578125" customWidth="1"/>
    <col min="20" max="20" width="8.7109375" style="20" customWidth="1"/>
    <col min="21" max="21" width="6" bestFit="1" customWidth="1"/>
    <col min="22" max="22" width="15" customWidth="1"/>
    <col min="23" max="23" width="9" customWidth="1"/>
    <col min="24" max="24" width="8.7109375" style="20" customWidth="1"/>
    <col min="25" max="25" width="7.140625" customWidth="1"/>
    <col min="26" max="26" width="14.7109375" customWidth="1"/>
    <col min="27" max="27" width="9.7109375" customWidth="1"/>
    <col min="28" max="28" width="9.28515625" style="20" hidden="1" customWidth="1"/>
    <col min="29" max="29" width="6" hidden="1" customWidth="1"/>
    <col min="30" max="30" width="15" hidden="1" customWidth="1"/>
    <col min="31" max="31" width="14.42578125" hidden="1" customWidth="1"/>
    <col min="32" max="32" width="21" customWidth="1"/>
    <col min="33" max="33" width="5.5703125" customWidth="1"/>
  </cols>
  <sheetData>
    <row r="1" spans="1:32" ht="30" customHeight="1" x14ac:dyDescent="0.25">
      <c r="A1" s="43" t="s">
        <v>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row>
    <row r="2" spans="1:32" x14ac:dyDescent="0.25">
      <c r="A2" s="46"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row>
    <row r="4" spans="1:32" x14ac:dyDescent="0.25">
      <c r="A4" s="1" t="s">
        <v>2</v>
      </c>
      <c r="B4" s="6">
        <v>46286</v>
      </c>
      <c r="C4" s="8" t="s">
        <v>26</v>
      </c>
      <c r="D4" s="7"/>
      <c r="F4" s="50">
        <v>46291</v>
      </c>
      <c r="G4" s="50"/>
    </row>
    <row r="5" spans="1:32" ht="18.75" x14ac:dyDescent="0.3">
      <c r="A5" s="1"/>
      <c r="B5" s="6"/>
      <c r="C5" s="8"/>
      <c r="D5" s="7"/>
      <c r="K5" s="54" t="s">
        <v>181</v>
      </c>
      <c r="L5" s="54"/>
      <c r="M5" s="54"/>
      <c r="N5" s="54"/>
      <c r="O5" s="54"/>
      <c r="P5" s="54"/>
      <c r="Q5" s="54"/>
      <c r="R5" s="54"/>
    </row>
    <row r="7" spans="1:32" ht="37.5" customHeight="1" thickBot="1" x14ac:dyDescent="0.3">
      <c r="A7" s="2" t="s">
        <v>27</v>
      </c>
      <c r="B7" s="2" t="s">
        <v>3</v>
      </c>
      <c r="C7" s="2" t="s">
        <v>4</v>
      </c>
      <c r="D7" s="2" t="s">
        <v>172</v>
      </c>
      <c r="E7" s="2" t="s">
        <v>173</v>
      </c>
      <c r="F7" s="2" t="s">
        <v>5</v>
      </c>
      <c r="G7" s="2" t="s">
        <v>6</v>
      </c>
      <c r="H7" s="2" t="s">
        <v>7</v>
      </c>
      <c r="I7" s="2" t="s">
        <v>153</v>
      </c>
      <c r="J7" s="2" t="s">
        <v>8</v>
      </c>
      <c r="K7" s="2" t="s">
        <v>12</v>
      </c>
      <c r="L7" s="2" t="s">
        <v>7</v>
      </c>
      <c r="M7" s="2" t="s">
        <v>153</v>
      </c>
      <c r="N7" s="2" t="s">
        <v>9</v>
      </c>
      <c r="O7" s="2" t="s">
        <v>12</v>
      </c>
      <c r="P7" s="2" t="s">
        <v>7</v>
      </c>
      <c r="Q7" s="2" t="s">
        <v>153</v>
      </c>
      <c r="R7" s="2" t="s">
        <v>10</v>
      </c>
      <c r="S7" s="2" t="s">
        <v>12</v>
      </c>
      <c r="T7" s="2" t="s">
        <v>7</v>
      </c>
      <c r="U7" s="2" t="s">
        <v>153</v>
      </c>
      <c r="V7" s="2" t="s">
        <v>11</v>
      </c>
      <c r="W7" s="2" t="s">
        <v>12</v>
      </c>
      <c r="X7" s="2" t="s">
        <v>7</v>
      </c>
      <c r="Y7" s="2" t="s">
        <v>153</v>
      </c>
      <c r="Z7" s="2" t="s">
        <v>174</v>
      </c>
      <c r="AA7" s="2" t="s">
        <v>12</v>
      </c>
      <c r="AB7" s="2" t="s">
        <v>7</v>
      </c>
      <c r="AC7" s="2" t="s">
        <v>153</v>
      </c>
      <c r="AD7" s="2" t="s">
        <v>175</v>
      </c>
      <c r="AE7" s="2" t="s">
        <v>12</v>
      </c>
      <c r="AF7" s="2" t="s">
        <v>13</v>
      </c>
    </row>
    <row r="8" spans="1:32" ht="30.75" customHeight="1" x14ac:dyDescent="0.25">
      <c r="A8" s="47" t="s">
        <v>171</v>
      </c>
      <c r="B8" s="22" t="s">
        <v>14</v>
      </c>
      <c r="C8" s="23">
        <v>0.3125</v>
      </c>
      <c r="D8" s="23" t="s">
        <v>16</v>
      </c>
      <c r="E8" s="23" t="s">
        <v>17</v>
      </c>
      <c r="F8" s="23">
        <v>0.79166666666666663</v>
      </c>
      <c r="G8" s="4" t="s">
        <v>168</v>
      </c>
      <c r="H8" s="21" t="s">
        <v>29</v>
      </c>
      <c r="I8" s="4">
        <v>16333</v>
      </c>
      <c r="J8" s="4" t="s">
        <v>139</v>
      </c>
      <c r="K8" s="4" t="s">
        <v>19</v>
      </c>
      <c r="L8" s="21"/>
      <c r="M8" s="4"/>
      <c r="N8" s="4"/>
      <c r="O8" s="4" t="s">
        <v>19</v>
      </c>
      <c r="P8" s="21"/>
      <c r="Q8" s="4"/>
      <c r="R8" s="4"/>
      <c r="S8" s="4" t="s">
        <v>19</v>
      </c>
      <c r="T8" s="21"/>
      <c r="U8" s="4"/>
      <c r="V8" s="4"/>
      <c r="W8" s="4" t="s">
        <v>19</v>
      </c>
      <c r="X8" s="21"/>
      <c r="Y8" s="4"/>
      <c r="Z8" s="4"/>
      <c r="AA8" s="4" t="s">
        <v>19</v>
      </c>
      <c r="AB8" s="21"/>
      <c r="AC8" s="4"/>
      <c r="AD8" s="4"/>
      <c r="AE8" s="4" t="s">
        <v>19</v>
      </c>
      <c r="AF8" s="4"/>
    </row>
    <row r="9" spans="1:32" ht="30.75" customHeight="1" x14ac:dyDescent="0.25">
      <c r="A9" s="48"/>
      <c r="B9" s="4" t="s">
        <v>20</v>
      </c>
      <c r="C9" s="5" t="s">
        <v>15</v>
      </c>
      <c r="D9" s="5" t="s">
        <v>16</v>
      </c>
      <c r="E9" s="5" t="s">
        <v>17</v>
      </c>
      <c r="F9" s="5" t="s">
        <v>18</v>
      </c>
      <c r="G9" s="4" t="s">
        <v>168</v>
      </c>
      <c r="H9" s="21" t="s">
        <v>29</v>
      </c>
      <c r="I9" s="4">
        <v>16333</v>
      </c>
      <c r="J9" s="4" t="s">
        <v>139</v>
      </c>
      <c r="K9" s="4" t="s">
        <v>19</v>
      </c>
      <c r="L9" s="21"/>
      <c r="M9" s="4"/>
      <c r="N9" s="4"/>
      <c r="O9" s="4" t="s">
        <v>19</v>
      </c>
      <c r="P9" s="21"/>
      <c r="Q9" s="4"/>
      <c r="R9" s="4"/>
      <c r="S9" s="4" t="s">
        <v>19</v>
      </c>
      <c r="T9" s="21"/>
      <c r="U9" s="4"/>
      <c r="V9" s="4"/>
      <c r="W9" s="4" t="s">
        <v>19</v>
      </c>
      <c r="X9" s="21"/>
      <c r="Y9" s="4"/>
      <c r="Z9" s="4"/>
      <c r="AA9" s="4" t="s">
        <v>19</v>
      </c>
      <c r="AB9" s="21"/>
      <c r="AC9" s="4"/>
      <c r="AD9" s="4"/>
      <c r="AE9" s="4" t="s">
        <v>19</v>
      </c>
      <c r="AF9" s="4"/>
    </row>
    <row r="10" spans="1:32" ht="30.75" customHeight="1" x14ac:dyDescent="0.25">
      <c r="A10" s="48"/>
      <c r="B10" s="4" t="s">
        <v>21</v>
      </c>
      <c r="C10" s="5" t="s">
        <v>15</v>
      </c>
      <c r="D10" s="5" t="s">
        <v>16</v>
      </c>
      <c r="E10" s="5" t="s">
        <v>17</v>
      </c>
      <c r="F10" s="5" t="s">
        <v>18</v>
      </c>
      <c r="G10" s="4" t="s">
        <v>168</v>
      </c>
      <c r="H10" s="21" t="s">
        <v>29</v>
      </c>
      <c r="I10" s="4">
        <v>16333</v>
      </c>
      <c r="J10" s="4" t="s">
        <v>139</v>
      </c>
      <c r="K10" s="4" t="s">
        <v>19</v>
      </c>
      <c r="L10" s="21"/>
      <c r="M10" s="4"/>
      <c r="N10" s="4"/>
      <c r="O10" s="4" t="s">
        <v>19</v>
      </c>
      <c r="P10" s="21"/>
      <c r="Q10" s="4"/>
      <c r="R10" s="4"/>
      <c r="S10" s="4" t="s">
        <v>19</v>
      </c>
      <c r="T10" s="21"/>
      <c r="U10" s="4"/>
      <c r="V10" s="4"/>
      <c r="W10" s="4" t="s">
        <v>19</v>
      </c>
      <c r="X10" s="21"/>
      <c r="Y10" s="4"/>
      <c r="Z10" s="4"/>
      <c r="AA10" s="4" t="s">
        <v>19</v>
      </c>
      <c r="AB10" s="21"/>
      <c r="AC10" s="4"/>
      <c r="AD10" s="4"/>
      <c r="AE10" s="4" t="s">
        <v>19</v>
      </c>
      <c r="AF10" s="4"/>
    </row>
    <row r="11" spans="1:32" ht="30.75" customHeight="1" x14ac:dyDescent="0.25">
      <c r="A11" s="48"/>
      <c r="B11" s="4" t="s">
        <v>22</v>
      </c>
      <c r="C11" s="5" t="s">
        <v>15</v>
      </c>
      <c r="D11" s="5" t="s">
        <v>16</v>
      </c>
      <c r="E11" s="5" t="s">
        <v>17</v>
      </c>
      <c r="F11" s="5" t="s">
        <v>18</v>
      </c>
      <c r="G11" s="4" t="s">
        <v>168</v>
      </c>
      <c r="H11" s="21" t="s">
        <v>29</v>
      </c>
      <c r="I11" s="4">
        <v>16333</v>
      </c>
      <c r="J11" s="4" t="s">
        <v>139</v>
      </c>
      <c r="K11" s="4" t="s">
        <v>19</v>
      </c>
      <c r="L11" s="21" t="s">
        <v>29</v>
      </c>
      <c r="M11" s="4">
        <v>16230</v>
      </c>
      <c r="N11" s="4" t="s">
        <v>98</v>
      </c>
      <c r="O11" s="4" t="s">
        <v>19</v>
      </c>
      <c r="P11" s="21" t="s">
        <v>29</v>
      </c>
      <c r="Q11" s="4">
        <v>16229</v>
      </c>
      <c r="R11" s="17" t="s">
        <v>130</v>
      </c>
      <c r="S11" s="4" t="s">
        <v>19</v>
      </c>
      <c r="T11" s="21"/>
      <c r="U11" s="4"/>
      <c r="V11" s="4"/>
      <c r="W11" s="4" t="s">
        <v>19</v>
      </c>
      <c r="X11" s="21"/>
      <c r="Y11" s="4"/>
      <c r="Z11" s="4"/>
      <c r="AA11" s="4" t="s">
        <v>19</v>
      </c>
      <c r="AB11" s="21"/>
      <c r="AC11" s="4"/>
      <c r="AD11" s="4"/>
      <c r="AE11" s="4" t="s">
        <v>19</v>
      </c>
      <c r="AF11" s="4"/>
    </row>
    <row r="12" spans="1:32" ht="30.75" customHeight="1" x14ac:dyDescent="0.25">
      <c r="A12" s="48"/>
      <c r="B12" s="4" t="s">
        <v>23</v>
      </c>
      <c r="C12" s="5" t="s">
        <v>15</v>
      </c>
      <c r="D12" s="5" t="s">
        <v>16</v>
      </c>
      <c r="E12" s="5" t="s">
        <v>17</v>
      </c>
      <c r="F12" s="5" t="s">
        <v>18</v>
      </c>
      <c r="G12" s="4" t="s">
        <v>168</v>
      </c>
      <c r="H12" s="21" t="s">
        <v>29</v>
      </c>
      <c r="I12" s="4">
        <v>16333</v>
      </c>
      <c r="J12" s="4" t="s">
        <v>139</v>
      </c>
      <c r="K12" s="4" t="s">
        <v>19</v>
      </c>
      <c r="L12" s="21" t="s">
        <v>29</v>
      </c>
      <c r="M12" s="4">
        <v>16230</v>
      </c>
      <c r="N12" s="4" t="s">
        <v>98</v>
      </c>
      <c r="O12" s="4" t="s">
        <v>19</v>
      </c>
      <c r="P12" s="21" t="s">
        <v>29</v>
      </c>
      <c r="Q12" s="4">
        <v>16229</v>
      </c>
      <c r="R12" s="17" t="s">
        <v>130</v>
      </c>
      <c r="S12" s="4" t="s">
        <v>19</v>
      </c>
      <c r="T12" s="21"/>
      <c r="U12" s="4"/>
      <c r="V12" s="4"/>
      <c r="W12" s="4" t="s">
        <v>19</v>
      </c>
      <c r="X12" s="21"/>
      <c r="Y12" s="4"/>
      <c r="Z12" s="4"/>
      <c r="AA12" s="4" t="s">
        <v>19</v>
      </c>
      <c r="AB12" s="21"/>
      <c r="AC12" s="4"/>
      <c r="AD12" s="4"/>
      <c r="AE12" s="4" t="s">
        <v>19</v>
      </c>
      <c r="AF12" s="4"/>
    </row>
    <row r="13" spans="1:32" ht="30.75" customHeight="1" x14ac:dyDescent="0.25">
      <c r="A13" s="49"/>
      <c r="B13" s="4" t="s">
        <v>24</v>
      </c>
      <c r="C13" s="5" t="s">
        <v>25</v>
      </c>
      <c r="D13" s="5"/>
      <c r="E13" s="5"/>
      <c r="F13" s="5" t="s">
        <v>16</v>
      </c>
      <c r="G13" s="4"/>
      <c r="H13" s="21"/>
      <c r="I13" s="4"/>
      <c r="J13" s="4"/>
      <c r="K13" s="4" t="s">
        <v>19</v>
      </c>
      <c r="L13" s="21"/>
      <c r="M13" s="4"/>
      <c r="N13" s="4"/>
      <c r="O13" s="4" t="s">
        <v>19</v>
      </c>
      <c r="P13" s="21"/>
      <c r="Q13" s="4"/>
      <c r="R13" s="4"/>
      <c r="S13" s="4" t="s">
        <v>19</v>
      </c>
      <c r="T13" s="21"/>
      <c r="U13" s="4"/>
      <c r="V13" s="4"/>
      <c r="W13" s="4" t="s">
        <v>19</v>
      </c>
      <c r="X13" s="21"/>
      <c r="Y13" s="4"/>
      <c r="Z13" s="4"/>
      <c r="AA13" s="4" t="s">
        <v>19</v>
      </c>
      <c r="AB13" s="21"/>
      <c r="AC13" s="4"/>
      <c r="AD13" s="4"/>
      <c r="AE13" s="4" t="s">
        <v>19</v>
      </c>
      <c r="AF13" s="4"/>
    </row>
    <row r="14" spans="1:32" ht="10.5" customHeight="1" thickBot="1" x14ac:dyDescent="0.3">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row>
    <row r="15" spans="1:32" ht="30.75" customHeight="1" x14ac:dyDescent="0.25">
      <c r="A15" s="39" t="s">
        <v>191</v>
      </c>
      <c r="B15" s="39" t="s">
        <v>14</v>
      </c>
      <c r="C15" s="40"/>
      <c r="D15" s="40"/>
      <c r="E15" s="40"/>
      <c r="F15" s="40"/>
      <c r="G15" s="39"/>
      <c r="H15" s="41" t="s">
        <v>192</v>
      </c>
      <c r="I15" s="39"/>
      <c r="J15" s="39" t="s">
        <v>193</v>
      </c>
      <c r="K15" s="39" t="s">
        <v>194</v>
      </c>
      <c r="L15" s="42" t="s">
        <v>195</v>
      </c>
      <c r="M15" s="39"/>
      <c r="N15" s="39"/>
      <c r="O15" s="39"/>
      <c r="P15" s="41"/>
      <c r="Q15" s="39"/>
      <c r="R15" s="39"/>
      <c r="S15" s="39"/>
      <c r="T15" s="41"/>
      <c r="U15" s="39"/>
      <c r="V15" s="39"/>
      <c r="W15" s="39"/>
      <c r="X15" s="41"/>
      <c r="Y15" s="39"/>
      <c r="Z15" s="39"/>
      <c r="AA15" s="39"/>
      <c r="AB15" s="41"/>
      <c r="AC15" s="39"/>
      <c r="AD15" s="39"/>
      <c r="AE15" s="39"/>
      <c r="AF15" s="39"/>
    </row>
    <row r="16" spans="1:32" ht="24" customHeight="1" x14ac:dyDescent="0.25">
      <c r="A16" s="39"/>
      <c r="B16" s="39"/>
      <c r="C16" s="40"/>
      <c r="D16" s="40"/>
      <c r="E16" s="40"/>
      <c r="F16" s="40"/>
      <c r="G16" s="39"/>
      <c r="H16" s="41"/>
      <c r="I16" s="39"/>
      <c r="J16" s="39"/>
      <c r="K16" s="39"/>
      <c r="L16" s="41"/>
      <c r="M16" s="39"/>
      <c r="N16" s="39"/>
      <c r="O16" s="39"/>
      <c r="P16" s="41"/>
      <c r="Q16" s="39"/>
      <c r="R16" s="39"/>
      <c r="S16" s="39"/>
      <c r="T16" s="41"/>
      <c r="U16" s="39"/>
      <c r="V16" s="39"/>
      <c r="W16" s="39"/>
      <c r="X16" s="41"/>
      <c r="Y16" s="39"/>
      <c r="Z16" s="39"/>
      <c r="AA16" s="39"/>
      <c r="AB16" s="41"/>
      <c r="AC16" s="39"/>
      <c r="AD16" s="39"/>
      <c r="AE16" s="39"/>
      <c r="AF16" s="39"/>
    </row>
    <row r="17" spans="1:32" ht="30.75" customHeight="1" x14ac:dyDescent="0.25">
      <c r="A17" s="39"/>
      <c r="B17" s="39"/>
      <c r="C17" s="40"/>
      <c r="D17" s="40"/>
      <c r="E17" s="40"/>
      <c r="F17" s="40"/>
      <c r="G17" s="39"/>
      <c r="H17" s="41"/>
      <c r="I17" s="39"/>
      <c r="J17" s="39"/>
      <c r="K17" s="39"/>
      <c r="L17" s="41"/>
      <c r="M17" s="39"/>
      <c r="N17" s="39"/>
      <c r="O17" s="39"/>
      <c r="P17" s="41"/>
      <c r="Q17" s="39"/>
      <c r="R17" s="39"/>
      <c r="S17" s="39"/>
      <c r="T17" s="41"/>
      <c r="U17" s="39"/>
      <c r="V17" s="39"/>
      <c r="W17" s="39"/>
      <c r="X17" s="41"/>
      <c r="Y17" s="39"/>
      <c r="Z17" s="39"/>
      <c r="AA17" s="39"/>
      <c r="AB17" s="41"/>
      <c r="AC17" s="39"/>
      <c r="AD17" s="39"/>
      <c r="AE17" s="39"/>
      <c r="AF17" s="39"/>
    </row>
    <row r="18" spans="1:32" ht="15" customHeight="1" thickBot="1" x14ac:dyDescent="0.3">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row>
    <row r="19" spans="1:32" ht="25.5" customHeight="1" x14ac:dyDescent="0.25">
      <c r="A19" s="55" t="s">
        <v>179</v>
      </c>
      <c r="B19" s="4" t="s">
        <v>14</v>
      </c>
      <c r="C19" s="5" t="s">
        <v>15</v>
      </c>
      <c r="D19" s="5" t="s">
        <v>16</v>
      </c>
      <c r="E19" s="5" t="s">
        <v>17</v>
      </c>
      <c r="F19" s="5" t="s">
        <v>18</v>
      </c>
      <c r="G19" s="4" t="s">
        <v>169</v>
      </c>
      <c r="H19" s="21" t="s">
        <v>29</v>
      </c>
      <c r="I19" s="4">
        <v>16150</v>
      </c>
      <c r="J19" s="4" t="s">
        <v>56</v>
      </c>
      <c r="K19" s="4" t="s">
        <v>19</v>
      </c>
      <c r="L19" s="21" t="s">
        <v>29</v>
      </c>
      <c r="M19" s="4">
        <v>16332</v>
      </c>
      <c r="N19" s="4" t="s">
        <v>37</v>
      </c>
      <c r="O19" s="4" t="s">
        <v>19</v>
      </c>
      <c r="P19" s="21" t="s">
        <v>29</v>
      </c>
      <c r="Q19" s="4">
        <v>16336</v>
      </c>
      <c r="R19" s="4" t="s">
        <v>115</v>
      </c>
      <c r="S19" s="4" t="s">
        <v>19</v>
      </c>
      <c r="T19" s="21" t="s">
        <v>29</v>
      </c>
      <c r="U19" s="4">
        <v>16367</v>
      </c>
      <c r="V19" s="4" t="s">
        <v>146</v>
      </c>
      <c r="W19" s="4" t="s">
        <v>19</v>
      </c>
      <c r="X19" s="21" t="s">
        <v>29</v>
      </c>
      <c r="Y19" s="4">
        <v>16231</v>
      </c>
      <c r="Z19" s="4" t="s">
        <v>131</v>
      </c>
      <c r="AA19" s="4" t="s">
        <v>19</v>
      </c>
      <c r="AB19" s="21" t="s">
        <v>29</v>
      </c>
      <c r="AC19" s="4"/>
      <c r="AD19" s="4"/>
      <c r="AE19" s="4" t="s">
        <v>19</v>
      </c>
      <c r="AF19" s="4"/>
    </row>
    <row r="20" spans="1:32" ht="25.5" customHeight="1" x14ac:dyDescent="0.25">
      <c r="A20" s="48"/>
      <c r="B20" s="22" t="s">
        <v>20</v>
      </c>
      <c r="C20" s="23">
        <v>0.3125</v>
      </c>
      <c r="D20" s="23" t="s">
        <v>16</v>
      </c>
      <c r="E20" s="23" t="s">
        <v>17</v>
      </c>
      <c r="F20" s="23">
        <v>0.79166666666666663</v>
      </c>
      <c r="G20" s="4" t="s">
        <v>169</v>
      </c>
      <c r="H20" s="21" t="s">
        <v>29</v>
      </c>
      <c r="I20" s="4">
        <v>16150</v>
      </c>
      <c r="J20" s="4" t="s">
        <v>56</v>
      </c>
      <c r="K20" s="4" t="s">
        <v>19</v>
      </c>
      <c r="L20" s="21" t="s">
        <v>29</v>
      </c>
      <c r="M20" s="4">
        <v>16332</v>
      </c>
      <c r="N20" s="4" t="s">
        <v>37</v>
      </c>
      <c r="O20" s="4" t="s">
        <v>19</v>
      </c>
      <c r="P20" s="21" t="s">
        <v>29</v>
      </c>
      <c r="Q20" s="4">
        <v>16336</v>
      </c>
      <c r="R20" s="4" t="s">
        <v>115</v>
      </c>
      <c r="S20" s="4" t="s">
        <v>19</v>
      </c>
      <c r="T20" s="21" t="s">
        <v>29</v>
      </c>
      <c r="U20" s="4">
        <v>16367</v>
      </c>
      <c r="V20" s="4" t="s">
        <v>146</v>
      </c>
      <c r="W20" s="4" t="s">
        <v>19</v>
      </c>
      <c r="X20" s="21" t="s">
        <v>29</v>
      </c>
      <c r="Y20" s="4">
        <v>16231</v>
      </c>
      <c r="Z20" s="4" t="s">
        <v>131</v>
      </c>
      <c r="AA20" s="4" t="s">
        <v>19</v>
      </c>
      <c r="AB20" s="21" t="s">
        <v>29</v>
      </c>
      <c r="AC20" s="4"/>
      <c r="AD20" s="4"/>
      <c r="AE20" s="4" t="s">
        <v>19</v>
      </c>
      <c r="AF20" s="4"/>
    </row>
    <row r="21" spans="1:32" ht="25.5" customHeight="1" x14ac:dyDescent="0.25">
      <c r="A21" s="48"/>
      <c r="B21" s="4" t="s">
        <v>21</v>
      </c>
      <c r="C21" s="5" t="s">
        <v>15</v>
      </c>
      <c r="D21" s="5" t="s">
        <v>16</v>
      </c>
      <c r="E21" s="5" t="s">
        <v>17</v>
      </c>
      <c r="F21" s="5" t="s">
        <v>18</v>
      </c>
      <c r="G21" s="4" t="s">
        <v>169</v>
      </c>
      <c r="H21" s="21" t="s">
        <v>29</v>
      </c>
      <c r="I21" s="4">
        <v>16150</v>
      </c>
      <c r="J21" s="4" t="s">
        <v>56</v>
      </c>
      <c r="K21" s="4" t="s">
        <v>19</v>
      </c>
      <c r="L21" s="21" t="s">
        <v>29</v>
      </c>
      <c r="M21" s="4">
        <v>16332</v>
      </c>
      <c r="N21" s="4" t="s">
        <v>37</v>
      </c>
      <c r="O21" s="4" t="s">
        <v>19</v>
      </c>
      <c r="P21" s="21" t="s">
        <v>29</v>
      </c>
      <c r="Q21" s="4">
        <v>16336</v>
      </c>
      <c r="R21" s="4" t="s">
        <v>115</v>
      </c>
      <c r="S21" s="4" t="s">
        <v>19</v>
      </c>
      <c r="T21" s="21" t="s">
        <v>29</v>
      </c>
      <c r="U21" s="4">
        <v>16367</v>
      </c>
      <c r="V21" s="4" t="s">
        <v>146</v>
      </c>
      <c r="W21" s="4" t="s">
        <v>19</v>
      </c>
      <c r="X21" s="21" t="s">
        <v>29</v>
      </c>
      <c r="Y21" s="4">
        <v>16231</v>
      </c>
      <c r="Z21" s="4" t="s">
        <v>131</v>
      </c>
      <c r="AA21" s="4" t="s">
        <v>19</v>
      </c>
      <c r="AB21" s="21" t="s">
        <v>29</v>
      </c>
      <c r="AC21" s="4"/>
      <c r="AD21" s="4"/>
      <c r="AE21" s="4" t="s">
        <v>19</v>
      </c>
      <c r="AF21" s="4"/>
    </row>
    <row r="22" spans="1:32" ht="25.5" customHeight="1" x14ac:dyDescent="0.25">
      <c r="A22" s="48"/>
      <c r="B22" s="4" t="s">
        <v>22</v>
      </c>
      <c r="C22" s="5" t="s">
        <v>15</v>
      </c>
      <c r="D22" s="5" t="s">
        <v>16</v>
      </c>
      <c r="E22" s="5" t="s">
        <v>17</v>
      </c>
      <c r="F22" s="5" t="s">
        <v>18</v>
      </c>
      <c r="G22" s="4" t="s">
        <v>169</v>
      </c>
      <c r="H22" s="21" t="s">
        <v>29</v>
      </c>
      <c r="I22" s="4">
        <v>16150</v>
      </c>
      <c r="J22" s="4" t="s">
        <v>56</v>
      </c>
      <c r="K22" s="4" t="s">
        <v>19</v>
      </c>
      <c r="L22" s="21" t="s">
        <v>29</v>
      </c>
      <c r="M22" s="4">
        <v>16332</v>
      </c>
      <c r="N22" s="4" t="s">
        <v>37</v>
      </c>
      <c r="O22" s="4" t="s">
        <v>19</v>
      </c>
      <c r="P22" s="21" t="s">
        <v>29</v>
      </c>
      <c r="Q22" s="4"/>
      <c r="R22" s="4"/>
      <c r="S22" s="4" t="s">
        <v>19</v>
      </c>
      <c r="T22" s="21"/>
      <c r="U22" s="4"/>
      <c r="V22" s="4"/>
      <c r="W22" s="4" t="s">
        <v>19</v>
      </c>
      <c r="X22" s="21"/>
      <c r="Y22" s="4"/>
      <c r="Z22" s="4"/>
      <c r="AA22" s="4" t="s">
        <v>19</v>
      </c>
      <c r="AB22" s="21"/>
      <c r="AC22" s="4"/>
      <c r="AD22" s="4"/>
      <c r="AE22" s="4" t="s">
        <v>19</v>
      </c>
      <c r="AF22" s="4"/>
    </row>
    <row r="23" spans="1:32" ht="25.5" customHeight="1" x14ac:dyDescent="0.25">
      <c r="A23" s="48"/>
      <c r="B23" s="4" t="s">
        <v>23</v>
      </c>
      <c r="C23" s="5" t="s">
        <v>15</v>
      </c>
      <c r="D23" s="5" t="s">
        <v>16</v>
      </c>
      <c r="E23" s="5" t="s">
        <v>17</v>
      </c>
      <c r="F23" s="5" t="s">
        <v>18</v>
      </c>
      <c r="G23" s="4" t="s">
        <v>169</v>
      </c>
      <c r="H23" s="21" t="s">
        <v>29</v>
      </c>
      <c r="I23" s="4">
        <v>16150</v>
      </c>
      <c r="J23" s="4" t="s">
        <v>56</v>
      </c>
      <c r="K23" s="4" t="s">
        <v>19</v>
      </c>
      <c r="L23" s="21" t="s">
        <v>29</v>
      </c>
      <c r="M23" s="4">
        <v>16332</v>
      </c>
      <c r="N23" s="4" t="s">
        <v>37</v>
      </c>
      <c r="O23" s="4" t="s">
        <v>19</v>
      </c>
      <c r="P23" s="21" t="s">
        <v>29</v>
      </c>
      <c r="Q23" s="4"/>
      <c r="R23" s="4"/>
      <c r="S23" s="4" t="s">
        <v>19</v>
      </c>
      <c r="T23" s="21"/>
      <c r="U23" s="4"/>
      <c r="V23" s="4"/>
      <c r="W23" s="4" t="s">
        <v>19</v>
      </c>
      <c r="X23" s="21"/>
      <c r="Y23" s="4"/>
      <c r="Z23" s="4"/>
      <c r="AA23" s="4" t="s">
        <v>19</v>
      </c>
      <c r="AB23" s="21"/>
      <c r="AC23" s="4"/>
      <c r="AD23" s="4"/>
      <c r="AE23" s="4" t="s">
        <v>19</v>
      </c>
      <c r="AF23" s="4"/>
    </row>
    <row r="24" spans="1:32" ht="25.5" customHeight="1" x14ac:dyDescent="0.25">
      <c r="A24" s="49"/>
      <c r="B24" s="4" t="s">
        <v>24</v>
      </c>
      <c r="C24" s="5" t="s">
        <v>25</v>
      </c>
      <c r="D24" s="5"/>
      <c r="E24" s="5"/>
      <c r="F24" s="5" t="s">
        <v>16</v>
      </c>
      <c r="G24" s="4"/>
      <c r="H24" s="21"/>
      <c r="I24" s="4"/>
      <c r="J24" s="4"/>
      <c r="K24" s="4" t="s">
        <v>19</v>
      </c>
      <c r="L24" s="21"/>
      <c r="M24" s="4"/>
      <c r="N24" s="4"/>
      <c r="O24" s="4" t="s">
        <v>19</v>
      </c>
      <c r="P24" s="21"/>
      <c r="Q24" s="4"/>
      <c r="R24" s="4"/>
      <c r="S24" s="4" t="s">
        <v>19</v>
      </c>
      <c r="T24" s="21"/>
      <c r="U24" s="4"/>
      <c r="V24" s="4"/>
      <c r="W24" s="4" t="s">
        <v>19</v>
      </c>
      <c r="X24" s="21"/>
      <c r="Y24" s="4"/>
      <c r="Z24" s="4"/>
      <c r="AA24" s="4" t="s">
        <v>19</v>
      </c>
      <c r="AB24" s="21"/>
      <c r="AC24" s="4"/>
      <c r="AD24" s="4"/>
      <c r="AE24" s="4" t="s">
        <v>19</v>
      </c>
      <c r="AF24" s="4"/>
    </row>
    <row r="25" spans="1:32" ht="11.25" customHeight="1" thickBot="1" x14ac:dyDescent="0.3">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row>
    <row r="26" spans="1:32" ht="25.5" customHeight="1" x14ac:dyDescent="0.25">
      <c r="A26" s="39" t="s">
        <v>191</v>
      </c>
      <c r="B26" s="39"/>
      <c r="C26" s="40"/>
      <c r="D26" s="40"/>
      <c r="E26" s="40"/>
      <c r="F26" s="40"/>
      <c r="G26" s="39"/>
      <c r="H26" s="41"/>
      <c r="I26" s="39"/>
      <c r="J26" s="39"/>
      <c r="K26" s="39"/>
      <c r="L26" s="41"/>
      <c r="M26" s="39"/>
      <c r="N26" s="39"/>
      <c r="O26" s="39"/>
      <c r="P26" s="41"/>
      <c r="Q26" s="39"/>
      <c r="R26" s="39"/>
      <c r="S26" s="39"/>
      <c r="T26" s="41"/>
      <c r="U26" s="39"/>
      <c r="V26" s="39"/>
      <c r="W26" s="39"/>
      <c r="X26" s="41"/>
      <c r="Y26" s="39"/>
      <c r="Z26" s="39"/>
      <c r="AA26" s="39"/>
      <c r="AB26" s="41"/>
      <c r="AC26" s="39"/>
      <c r="AD26" s="39"/>
      <c r="AE26" s="39"/>
      <c r="AF26" s="39"/>
    </row>
    <row r="27" spans="1:32" ht="25.5" customHeight="1" x14ac:dyDescent="0.25">
      <c r="A27" s="39"/>
      <c r="B27" s="39"/>
      <c r="C27" s="40"/>
      <c r="D27" s="40"/>
      <c r="E27" s="40"/>
      <c r="F27" s="40"/>
      <c r="G27" s="39"/>
      <c r="H27" s="41"/>
      <c r="I27" s="39"/>
      <c r="J27" s="39"/>
      <c r="K27" s="39"/>
      <c r="L27" s="41"/>
      <c r="M27" s="39"/>
      <c r="N27" s="39"/>
      <c r="O27" s="39"/>
      <c r="P27" s="41"/>
      <c r="Q27" s="39"/>
      <c r="R27" s="39"/>
      <c r="S27" s="39"/>
      <c r="T27" s="41"/>
      <c r="U27" s="39"/>
      <c r="V27" s="39"/>
      <c r="W27" s="39"/>
      <c r="X27" s="41"/>
      <c r="Y27" s="39"/>
      <c r="Z27" s="39"/>
      <c r="AA27" s="39"/>
      <c r="AB27" s="41"/>
      <c r="AC27" s="39"/>
      <c r="AD27" s="39"/>
      <c r="AE27" s="39"/>
      <c r="AF27" s="39"/>
    </row>
    <row r="28" spans="1:32" ht="25.5" customHeight="1" x14ac:dyDescent="0.25">
      <c r="A28" s="39"/>
      <c r="B28" s="39"/>
      <c r="C28" s="40"/>
      <c r="D28" s="40"/>
      <c r="E28" s="40"/>
      <c r="F28" s="40"/>
      <c r="G28" s="39"/>
      <c r="H28" s="41"/>
      <c r="I28" s="39"/>
      <c r="J28" s="39"/>
      <c r="K28" s="39"/>
      <c r="L28" s="41"/>
      <c r="M28" s="39"/>
      <c r="N28" s="39"/>
      <c r="O28" s="39"/>
      <c r="P28" s="41"/>
      <c r="Q28" s="39"/>
      <c r="R28" s="39"/>
      <c r="S28" s="39"/>
      <c r="T28" s="41"/>
      <c r="U28" s="39"/>
      <c r="V28" s="39"/>
      <c r="W28" s="39"/>
      <c r="X28" s="41"/>
      <c r="Y28" s="39"/>
      <c r="Z28" s="39"/>
      <c r="AA28" s="39"/>
      <c r="AB28" s="41"/>
      <c r="AC28" s="39"/>
      <c r="AD28" s="39"/>
      <c r="AE28" s="39"/>
      <c r="AF28" s="39"/>
    </row>
    <row r="29" spans="1:32" ht="15.75" thickBot="1" x14ac:dyDescent="0.3">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row>
    <row r="30" spans="1:32" ht="31.5" customHeight="1" x14ac:dyDescent="0.25">
      <c r="A30" s="55" t="s">
        <v>178</v>
      </c>
      <c r="B30" s="4" t="s">
        <v>14</v>
      </c>
      <c r="C30" s="5" t="s">
        <v>15</v>
      </c>
      <c r="D30" s="5" t="s">
        <v>16</v>
      </c>
      <c r="E30" s="5" t="s">
        <v>17</v>
      </c>
      <c r="F30" s="5" t="s">
        <v>18</v>
      </c>
      <c r="G30" s="4" t="s">
        <v>170</v>
      </c>
      <c r="H30" s="21" t="s">
        <v>29</v>
      </c>
      <c r="I30" s="4">
        <v>16150</v>
      </c>
      <c r="J30" s="17" t="s">
        <v>28</v>
      </c>
      <c r="K30" s="4" t="s">
        <v>19</v>
      </c>
      <c r="L30" s="21" t="s">
        <v>29</v>
      </c>
      <c r="M30" s="4">
        <v>16359</v>
      </c>
      <c r="N30" s="4" t="s">
        <v>112</v>
      </c>
      <c r="O30" s="4" t="s">
        <v>19</v>
      </c>
      <c r="P30" s="21"/>
      <c r="Q30" s="4"/>
      <c r="R30" s="4"/>
      <c r="S30" s="4" t="s">
        <v>19</v>
      </c>
      <c r="T30" s="21"/>
      <c r="U30" s="4"/>
      <c r="V30" s="4"/>
      <c r="W30" s="4" t="s">
        <v>19</v>
      </c>
      <c r="X30" s="21"/>
      <c r="Y30" s="4"/>
      <c r="Z30" s="4"/>
      <c r="AA30" s="4" t="s">
        <v>19</v>
      </c>
      <c r="AB30" s="21"/>
      <c r="AC30" s="4"/>
      <c r="AD30" s="4"/>
      <c r="AE30" s="4" t="s">
        <v>19</v>
      </c>
      <c r="AF30" s="4"/>
    </row>
    <row r="31" spans="1:32" ht="31.5" customHeight="1" x14ac:dyDescent="0.25">
      <c r="A31" s="48"/>
      <c r="B31" s="4" t="s">
        <v>20</v>
      </c>
      <c r="C31" s="5" t="s">
        <v>15</v>
      </c>
      <c r="D31" s="5" t="s">
        <v>16</v>
      </c>
      <c r="E31" s="5" t="s">
        <v>17</v>
      </c>
      <c r="F31" s="5" t="s">
        <v>18</v>
      </c>
      <c r="G31" s="4" t="s">
        <v>170</v>
      </c>
      <c r="H31" s="21" t="s">
        <v>29</v>
      </c>
      <c r="I31" s="4">
        <v>16150</v>
      </c>
      <c r="J31" s="17" t="s">
        <v>28</v>
      </c>
      <c r="K31" s="4" t="s">
        <v>19</v>
      </c>
      <c r="L31" s="21" t="s">
        <v>29</v>
      </c>
      <c r="M31" s="4">
        <v>16359</v>
      </c>
      <c r="N31" s="4" t="s">
        <v>112</v>
      </c>
      <c r="O31" s="4" t="s">
        <v>19</v>
      </c>
      <c r="P31" s="21"/>
      <c r="Q31" s="4"/>
      <c r="R31" s="4"/>
      <c r="S31" s="4" t="s">
        <v>19</v>
      </c>
      <c r="T31" s="21"/>
      <c r="U31" s="4"/>
      <c r="V31" s="4"/>
      <c r="W31" s="4" t="s">
        <v>19</v>
      </c>
      <c r="X31" s="21"/>
      <c r="Y31" s="4"/>
      <c r="Z31" s="4"/>
      <c r="AA31" s="4" t="s">
        <v>19</v>
      </c>
      <c r="AB31" s="21"/>
      <c r="AC31" s="4"/>
      <c r="AD31" s="4"/>
      <c r="AE31" s="4" t="s">
        <v>19</v>
      </c>
      <c r="AF31" s="4"/>
    </row>
    <row r="32" spans="1:32" ht="31.5" customHeight="1" x14ac:dyDescent="0.25">
      <c r="A32" s="48"/>
      <c r="B32" s="22" t="s">
        <v>21</v>
      </c>
      <c r="C32" s="23">
        <v>0.3125</v>
      </c>
      <c r="D32" s="23" t="s">
        <v>16</v>
      </c>
      <c r="E32" s="23" t="s">
        <v>17</v>
      </c>
      <c r="F32" s="23">
        <v>0.79166666666666663</v>
      </c>
      <c r="G32" s="4" t="s">
        <v>170</v>
      </c>
      <c r="H32" s="21" t="s">
        <v>29</v>
      </c>
      <c r="I32" s="4">
        <v>16150</v>
      </c>
      <c r="J32" s="17" t="s">
        <v>28</v>
      </c>
      <c r="K32" s="4" t="s">
        <v>19</v>
      </c>
      <c r="L32" s="21" t="s">
        <v>29</v>
      </c>
      <c r="M32" s="4">
        <v>16359</v>
      </c>
      <c r="N32" s="4" t="s">
        <v>112</v>
      </c>
      <c r="O32" s="4" t="s">
        <v>19</v>
      </c>
      <c r="P32" s="21"/>
      <c r="Q32" s="4"/>
      <c r="R32" s="4"/>
      <c r="S32" s="4" t="s">
        <v>19</v>
      </c>
      <c r="T32" s="21"/>
      <c r="U32" s="4"/>
      <c r="V32" s="4"/>
      <c r="W32" s="4" t="s">
        <v>19</v>
      </c>
      <c r="X32" s="21"/>
      <c r="Y32" s="4"/>
      <c r="Z32" s="4"/>
      <c r="AA32" s="4" t="s">
        <v>19</v>
      </c>
      <c r="AB32" s="21"/>
      <c r="AC32" s="4"/>
      <c r="AD32" s="4"/>
      <c r="AE32" s="4" t="s">
        <v>19</v>
      </c>
      <c r="AF32" s="4"/>
    </row>
    <row r="33" spans="1:32" ht="31.5" customHeight="1" x14ac:dyDescent="0.25">
      <c r="A33" s="48"/>
      <c r="B33" s="4" t="s">
        <v>22</v>
      </c>
      <c r="C33" s="5" t="s">
        <v>15</v>
      </c>
      <c r="D33" s="5" t="s">
        <v>16</v>
      </c>
      <c r="E33" s="5" t="s">
        <v>17</v>
      </c>
      <c r="F33" s="5" t="s">
        <v>18</v>
      </c>
      <c r="G33" s="4" t="s">
        <v>170</v>
      </c>
      <c r="H33" s="21"/>
      <c r="I33" s="4"/>
      <c r="J33" s="4"/>
      <c r="K33" s="4" t="s">
        <v>19</v>
      </c>
      <c r="L33" s="21" t="s">
        <v>29</v>
      </c>
      <c r="M33" s="4">
        <v>16359</v>
      </c>
      <c r="N33" s="4" t="s">
        <v>112</v>
      </c>
      <c r="O33" s="4" t="s">
        <v>19</v>
      </c>
      <c r="P33" s="21" t="s">
        <v>29</v>
      </c>
      <c r="Q33" s="4">
        <v>16150</v>
      </c>
      <c r="R33" s="4" t="s">
        <v>56</v>
      </c>
      <c r="S33" s="4" t="s">
        <v>19</v>
      </c>
      <c r="T33" s="21"/>
      <c r="U33" s="4"/>
      <c r="V33" s="4"/>
      <c r="W33" s="4" t="s">
        <v>19</v>
      </c>
      <c r="X33" s="21"/>
      <c r="Y33" s="4"/>
      <c r="Z33" s="4"/>
      <c r="AA33" s="4" t="s">
        <v>19</v>
      </c>
      <c r="AB33" s="21"/>
      <c r="AC33" s="4"/>
      <c r="AD33" s="4"/>
      <c r="AE33" s="4" t="s">
        <v>19</v>
      </c>
      <c r="AF33" s="4" t="s">
        <v>180</v>
      </c>
    </row>
    <row r="34" spans="1:32" ht="31.5" customHeight="1" x14ac:dyDescent="0.25">
      <c r="A34" s="48"/>
      <c r="B34" s="4" t="s">
        <v>23</v>
      </c>
      <c r="C34" s="5" t="s">
        <v>15</v>
      </c>
      <c r="D34" s="5" t="s">
        <v>16</v>
      </c>
      <c r="E34" s="5" t="s">
        <v>17</v>
      </c>
      <c r="F34" s="5" t="s">
        <v>18</v>
      </c>
      <c r="G34" s="4" t="s">
        <v>169</v>
      </c>
      <c r="H34" s="21"/>
      <c r="I34" s="4"/>
      <c r="J34" s="4"/>
      <c r="K34" s="4" t="s">
        <v>19</v>
      </c>
      <c r="L34" s="21" t="s">
        <v>29</v>
      </c>
      <c r="M34" s="4">
        <v>16359</v>
      </c>
      <c r="N34" s="4" t="s">
        <v>112</v>
      </c>
      <c r="O34" s="4" t="s">
        <v>19</v>
      </c>
      <c r="P34" s="21" t="s">
        <v>29</v>
      </c>
      <c r="Q34" s="4">
        <v>16150</v>
      </c>
      <c r="R34" s="4" t="s">
        <v>56</v>
      </c>
      <c r="S34" s="4" t="s">
        <v>19</v>
      </c>
      <c r="T34" s="21"/>
      <c r="U34" s="4"/>
      <c r="V34" s="4"/>
      <c r="W34" s="4" t="s">
        <v>19</v>
      </c>
      <c r="X34" s="21"/>
      <c r="Y34" s="4"/>
      <c r="Z34" s="4"/>
      <c r="AA34" s="4" t="s">
        <v>19</v>
      </c>
      <c r="AB34" s="21"/>
      <c r="AC34" s="4"/>
      <c r="AD34" s="4"/>
      <c r="AE34" s="4" t="s">
        <v>19</v>
      </c>
      <c r="AF34" s="4" t="s">
        <v>180</v>
      </c>
    </row>
    <row r="35" spans="1:32" ht="31.5" customHeight="1" x14ac:dyDescent="0.25">
      <c r="A35" s="49"/>
      <c r="B35" s="4" t="s">
        <v>24</v>
      </c>
      <c r="C35" s="5" t="s">
        <v>25</v>
      </c>
      <c r="D35" s="5"/>
      <c r="E35" s="5"/>
      <c r="F35" s="5" t="s">
        <v>16</v>
      </c>
      <c r="G35" s="4"/>
      <c r="H35" s="21"/>
      <c r="I35" s="4"/>
      <c r="J35" s="4"/>
      <c r="K35" s="4" t="s">
        <v>19</v>
      </c>
      <c r="L35" s="21"/>
      <c r="M35" s="4"/>
      <c r="N35" s="4"/>
      <c r="O35" s="4" t="s">
        <v>19</v>
      </c>
      <c r="P35" s="21"/>
      <c r="Q35" s="4"/>
      <c r="R35" s="4"/>
      <c r="S35" s="4" t="s">
        <v>19</v>
      </c>
      <c r="T35" s="21"/>
      <c r="U35" s="4"/>
      <c r="V35" s="4"/>
      <c r="W35" s="4" t="s">
        <v>19</v>
      </c>
      <c r="X35" s="21"/>
      <c r="Y35" s="4"/>
      <c r="Z35" s="4"/>
      <c r="AA35" s="4" t="s">
        <v>19</v>
      </c>
      <c r="AB35" s="21"/>
      <c r="AC35" s="4"/>
      <c r="AD35" s="4"/>
      <c r="AE35" s="4" t="s">
        <v>19</v>
      </c>
      <c r="AF35" s="4"/>
    </row>
    <row r="36" spans="1:32" ht="10.5" customHeight="1" thickBot="1" x14ac:dyDescent="0.3">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row>
    <row r="37" spans="1:32" ht="25.5" customHeight="1" x14ac:dyDescent="0.25">
      <c r="A37" s="39" t="s">
        <v>191</v>
      </c>
      <c r="B37" s="39"/>
      <c r="C37" s="40"/>
      <c r="D37" s="40"/>
      <c r="E37" s="40"/>
      <c r="F37" s="40"/>
      <c r="G37" s="39"/>
      <c r="H37" s="41"/>
      <c r="I37" s="39"/>
      <c r="J37" s="39"/>
      <c r="K37" s="39"/>
      <c r="L37" s="41"/>
      <c r="M37" s="39"/>
      <c r="N37" s="39"/>
      <c r="O37" s="39"/>
      <c r="P37" s="41"/>
      <c r="Q37" s="39"/>
      <c r="R37" s="39"/>
      <c r="S37" s="39"/>
      <c r="T37" s="41"/>
      <c r="U37" s="39"/>
      <c r="V37" s="39"/>
      <c r="W37" s="39"/>
      <c r="X37" s="41"/>
      <c r="Y37" s="39"/>
      <c r="Z37" s="39"/>
      <c r="AA37" s="39"/>
      <c r="AB37" s="41"/>
      <c r="AC37" s="39"/>
      <c r="AD37" s="39"/>
      <c r="AE37" s="39"/>
      <c r="AF37" s="39"/>
    </row>
    <row r="38" spans="1:32" ht="25.5" customHeight="1" x14ac:dyDescent="0.25">
      <c r="A38" s="39"/>
      <c r="B38" s="39"/>
      <c r="C38" s="40"/>
      <c r="D38" s="40"/>
      <c r="E38" s="40"/>
      <c r="F38" s="40"/>
      <c r="G38" s="39"/>
      <c r="H38" s="41"/>
      <c r="I38" s="39"/>
      <c r="J38" s="39"/>
      <c r="K38" s="39"/>
      <c r="L38" s="41"/>
      <c r="M38" s="39"/>
      <c r="N38" s="39"/>
      <c r="O38" s="39"/>
      <c r="P38" s="41"/>
      <c r="Q38" s="39"/>
      <c r="R38" s="39"/>
      <c r="S38" s="39"/>
      <c r="T38" s="41"/>
      <c r="U38" s="39"/>
      <c r="V38" s="39"/>
      <c r="W38" s="39"/>
      <c r="X38" s="41"/>
      <c r="Y38" s="39"/>
      <c r="Z38" s="39"/>
      <c r="AA38" s="39"/>
      <c r="AB38" s="41"/>
      <c r="AC38" s="39"/>
      <c r="AD38" s="39"/>
      <c r="AE38" s="39"/>
      <c r="AF38" s="39"/>
    </row>
    <row r="39" spans="1:32" ht="25.5" customHeight="1" x14ac:dyDescent="0.25">
      <c r="A39" s="39"/>
      <c r="B39" s="39"/>
      <c r="C39" s="40"/>
      <c r="D39" s="40"/>
      <c r="E39" s="40"/>
      <c r="F39" s="40"/>
      <c r="G39" s="39"/>
      <c r="H39" s="41"/>
      <c r="I39" s="39"/>
      <c r="J39" s="39"/>
      <c r="K39" s="39"/>
      <c r="L39" s="41"/>
      <c r="M39" s="39"/>
      <c r="N39" s="39"/>
      <c r="O39" s="39"/>
      <c r="P39" s="41"/>
      <c r="Q39" s="39"/>
      <c r="R39" s="39"/>
      <c r="S39" s="39"/>
      <c r="T39" s="41"/>
      <c r="U39" s="39"/>
      <c r="V39" s="39"/>
      <c r="W39" s="39"/>
      <c r="X39" s="41"/>
      <c r="Y39" s="39"/>
      <c r="Z39" s="39"/>
      <c r="AA39" s="39"/>
      <c r="AB39" s="41"/>
      <c r="AC39" s="39"/>
      <c r="AD39" s="39"/>
      <c r="AE39" s="39"/>
      <c r="AF39" s="39"/>
    </row>
    <row r="42" spans="1:32" ht="21" x14ac:dyDescent="0.35">
      <c r="K42" s="52" t="s">
        <v>182</v>
      </c>
      <c r="L42" s="53"/>
      <c r="M42" s="53"/>
      <c r="N42" s="53"/>
      <c r="O42" s="53"/>
      <c r="P42" s="53"/>
      <c r="Q42" s="53"/>
      <c r="R42" s="53"/>
    </row>
    <row r="44" spans="1:32" ht="15.75" thickBot="1" x14ac:dyDescent="0.3">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row>
    <row r="45" spans="1:32" ht="26.25" customHeight="1" x14ac:dyDescent="0.25">
      <c r="A45" s="55" t="s">
        <v>183</v>
      </c>
      <c r="B45" s="4" t="s">
        <v>14</v>
      </c>
      <c r="C45" s="5" t="s">
        <v>15</v>
      </c>
      <c r="D45" s="5" t="s">
        <v>16</v>
      </c>
      <c r="E45" s="5" t="s">
        <v>17</v>
      </c>
      <c r="F45" s="5" t="s">
        <v>18</v>
      </c>
      <c r="G45" s="4"/>
      <c r="H45" s="21" t="s">
        <v>29</v>
      </c>
      <c r="I45" s="4"/>
      <c r="J45" s="17"/>
      <c r="K45" s="4" t="s">
        <v>19</v>
      </c>
      <c r="L45" s="21" t="s">
        <v>29</v>
      </c>
      <c r="M45" s="4"/>
      <c r="N45" s="4"/>
      <c r="O45" s="4" t="s">
        <v>19</v>
      </c>
      <c r="P45" s="21"/>
      <c r="Q45" s="4"/>
      <c r="R45" s="4"/>
      <c r="S45" s="4" t="s">
        <v>19</v>
      </c>
      <c r="T45" s="21"/>
      <c r="U45" s="4"/>
      <c r="V45" s="4"/>
      <c r="W45" s="4" t="s">
        <v>19</v>
      </c>
      <c r="X45" s="21"/>
      <c r="Y45" s="4"/>
      <c r="Z45" s="4"/>
      <c r="AA45" s="4" t="s">
        <v>19</v>
      </c>
      <c r="AB45" s="21"/>
      <c r="AC45" s="4"/>
      <c r="AD45" s="4"/>
      <c r="AE45" s="4" t="s">
        <v>19</v>
      </c>
      <c r="AF45" s="4"/>
    </row>
    <row r="46" spans="1:32" ht="26.25" customHeight="1" x14ac:dyDescent="0.25">
      <c r="A46" s="48"/>
      <c r="B46" s="4" t="s">
        <v>20</v>
      </c>
      <c r="C46" s="5" t="s">
        <v>15</v>
      </c>
      <c r="D46" s="5" t="s">
        <v>16</v>
      </c>
      <c r="E46" s="5" t="s">
        <v>17</v>
      </c>
      <c r="F46" s="5" t="s">
        <v>18</v>
      </c>
      <c r="G46" s="4"/>
      <c r="H46" s="21" t="s">
        <v>29</v>
      </c>
      <c r="I46" s="4"/>
      <c r="J46" s="17"/>
      <c r="K46" s="4" t="s">
        <v>19</v>
      </c>
      <c r="L46" s="21" t="s">
        <v>29</v>
      </c>
      <c r="M46" s="4"/>
      <c r="N46" s="4"/>
      <c r="O46" s="4" t="s">
        <v>19</v>
      </c>
      <c r="P46" s="21"/>
      <c r="Q46" s="4"/>
      <c r="R46" s="4"/>
      <c r="S46" s="4" t="s">
        <v>19</v>
      </c>
      <c r="T46" s="21"/>
      <c r="U46" s="4"/>
      <c r="V46" s="4"/>
      <c r="W46" s="4" t="s">
        <v>19</v>
      </c>
      <c r="X46" s="21"/>
      <c r="Y46" s="4"/>
      <c r="Z46" s="4"/>
      <c r="AA46" s="4" t="s">
        <v>19</v>
      </c>
      <c r="AB46" s="21"/>
      <c r="AC46" s="4"/>
      <c r="AD46" s="4"/>
      <c r="AE46" s="4" t="s">
        <v>19</v>
      </c>
      <c r="AF46" s="4"/>
    </row>
    <row r="47" spans="1:32" ht="26.25" customHeight="1" x14ac:dyDescent="0.25">
      <c r="A47" s="48"/>
      <c r="B47" s="4" t="s">
        <v>21</v>
      </c>
      <c r="C47" s="5">
        <v>0.35416666666666669</v>
      </c>
      <c r="D47" s="5" t="s">
        <v>16</v>
      </c>
      <c r="E47" s="5" t="s">
        <v>17</v>
      </c>
      <c r="F47" s="5" t="s">
        <v>18</v>
      </c>
      <c r="G47" s="4"/>
      <c r="H47" s="21" t="s">
        <v>29</v>
      </c>
      <c r="I47" s="4"/>
      <c r="J47" s="17"/>
      <c r="K47" s="4" t="s">
        <v>19</v>
      </c>
      <c r="L47" s="21" t="s">
        <v>29</v>
      </c>
      <c r="M47" s="4"/>
      <c r="N47" s="4"/>
      <c r="O47" s="4" t="s">
        <v>19</v>
      </c>
      <c r="P47" s="21"/>
      <c r="Q47" s="4"/>
      <c r="R47" s="4"/>
      <c r="S47" s="4" t="s">
        <v>19</v>
      </c>
      <c r="T47" s="21"/>
      <c r="U47" s="4"/>
      <c r="V47" s="4"/>
      <c r="W47" s="4" t="s">
        <v>19</v>
      </c>
      <c r="X47" s="21"/>
      <c r="Y47" s="4"/>
      <c r="Z47" s="4"/>
      <c r="AA47" s="4" t="s">
        <v>19</v>
      </c>
      <c r="AB47" s="21"/>
      <c r="AC47" s="4"/>
      <c r="AD47" s="4"/>
      <c r="AE47" s="4" t="s">
        <v>19</v>
      </c>
      <c r="AF47" s="4"/>
    </row>
    <row r="48" spans="1:32" ht="26.25" customHeight="1" x14ac:dyDescent="0.25">
      <c r="A48" s="48"/>
      <c r="B48" s="22" t="s">
        <v>22</v>
      </c>
      <c r="C48" s="23">
        <v>0.3125</v>
      </c>
      <c r="D48" s="23" t="s">
        <v>16</v>
      </c>
      <c r="E48" s="23" t="s">
        <v>17</v>
      </c>
      <c r="F48" s="23">
        <v>0.79166666666666663</v>
      </c>
      <c r="G48" s="4"/>
      <c r="H48" s="21"/>
      <c r="I48" s="4"/>
      <c r="J48" s="4"/>
      <c r="K48" s="4" t="s">
        <v>19</v>
      </c>
      <c r="L48" s="21" t="s">
        <v>29</v>
      </c>
      <c r="M48" s="4"/>
      <c r="N48" s="4"/>
      <c r="O48" s="4" t="s">
        <v>19</v>
      </c>
      <c r="P48" s="21" t="s">
        <v>29</v>
      </c>
      <c r="Q48" s="4">
        <v>16150</v>
      </c>
      <c r="R48" s="4" t="s">
        <v>56</v>
      </c>
      <c r="S48" s="4" t="s">
        <v>19</v>
      </c>
      <c r="T48" s="21"/>
      <c r="U48" s="4"/>
      <c r="V48" s="4"/>
      <c r="W48" s="4" t="s">
        <v>19</v>
      </c>
      <c r="X48" s="21"/>
      <c r="Y48" s="4"/>
      <c r="Z48" s="4"/>
      <c r="AA48" s="4" t="s">
        <v>19</v>
      </c>
      <c r="AB48" s="21"/>
      <c r="AC48" s="4"/>
      <c r="AD48" s="4"/>
      <c r="AE48" s="4" t="s">
        <v>19</v>
      </c>
      <c r="AF48" s="4"/>
    </row>
    <row r="49" spans="1:32" ht="26.25" customHeight="1" x14ac:dyDescent="0.25">
      <c r="A49" s="48"/>
      <c r="B49" s="4" t="s">
        <v>23</v>
      </c>
      <c r="C49" s="5" t="s">
        <v>15</v>
      </c>
      <c r="D49" s="5" t="s">
        <v>16</v>
      </c>
      <c r="E49" s="5" t="s">
        <v>17</v>
      </c>
      <c r="F49" s="5" t="s">
        <v>18</v>
      </c>
      <c r="G49" s="4"/>
      <c r="H49" s="21"/>
      <c r="I49" s="4"/>
      <c r="J49" s="4"/>
      <c r="K49" s="4" t="s">
        <v>19</v>
      </c>
      <c r="L49" s="21" t="s">
        <v>29</v>
      </c>
      <c r="M49" s="4"/>
      <c r="N49" s="4"/>
      <c r="O49" s="4" t="s">
        <v>19</v>
      </c>
      <c r="P49" s="21" t="s">
        <v>29</v>
      </c>
      <c r="Q49" s="4">
        <v>16150</v>
      </c>
      <c r="R49" s="4" t="s">
        <v>56</v>
      </c>
      <c r="S49" s="4" t="s">
        <v>19</v>
      </c>
      <c r="T49" s="21"/>
      <c r="U49" s="4"/>
      <c r="V49" s="4"/>
      <c r="W49" s="4" t="s">
        <v>19</v>
      </c>
      <c r="X49" s="21"/>
      <c r="Y49" s="4"/>
      <c r="Z49" s="4"/>
      <c r="AA49" s="4" t="s">
        <v>19</v>
      </c>
      <c r="AB49" s="21"/>
      <c r="AC49" s="4"/>
      <c r="AD49" s="4"/>
      <c r="AE49" s="4" t="s">
        <v>19</v>
      </c>
      <c r="AF49" s="4"/>
    </row>
    <row r="50" spans="1:32" ht="26.25" customHeight="1" x14ac:dyDescent="0.25">
      <c r="A50" s="49"/>
      <c r="B50" s="4" t="s">
        <v>24</v>
      </c>
      <c r="C50" s="5" t="s">
        <v>25</v>
      </c>
      <c r="D50" s="5"/>
      <c r="E50" s="5"/>
      <c r="F50" s="5" t="s">
        <v>16</v>
      </c>
      <c r="G50" s="4"/>
      <c r="H50" s="21"/>
      <c r="I50" s="4"/>
      <c r="J50" s="4"/>
      <c r="K50" s="4" t="s">
        <v>19</v>
      </c>
      <c r="L50" s="21"/>
      <c r="M50" s="4"/>
      <c r="N50" s="4"/>
      <c r="O50" s="4" t="s">
        <v>19</v>
      </c>
      <c r="P50" s="21"/>
      <c r="Q50" s="4"/>
      <c r="R50" s="4"/>
      <c r="S50" s="4" t="s">
        <v>19</v>
      </c>
      <c r="T50" s="21"/>
      <c r="U50" s="4"/>
      <c r="V50" s="4"/>
      <c r="W50" s="4" t="s">
        <v>19</v>
      </c>
      <c r="X50" s="21"/>
      <c r="Y50" s="4"/>
      <c r="Z50" s="4"/>
      <c r="AA50" s="4" t="s">
        <v>19</v>
      </c>
      <c r="AB50" s="21"/>
      <c r="AC50" s="4"/>
      <c r="AD50" s="4"/>
      <c r="AE50" s="4" t="s">
        <v>19</v>
      </c>
      <c r="AF50" s="4"/>
    </row>
    <row r="51" spans="1:32" ht="11.25" customHeight="1" thickBot="1" x14ac:dyDescent="0.3">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row>
    <row r="52" spans="1:32" ht="25.5" customHeight="1" x14ac:dyDescent="0.25">
      <c r="A52" s="39" t="s">
        <v>191</v>
      </c>
      <c r="B52" s="39"/>
      <c r="C52" s="40"/>
      <c r="D52" s="40"/>
      <c r="E52" s="40"/>
      <c r="F52" s="40"/>
      <c r="G52" s="39"/>
      <c r="H52" s="41"/>
      <c r="I52" s="39"/>
      <c r="J52" s="39"/>
      <c r="K52" s="39"/>
      <c r="L52" s="41"/>
      <c r="M52" s="39"/>
      <c r="N52" s="39"/>
      <c r="O52" s="39"/>
      <c r="P52" s="41"/>
      <c r="Q52" s="39"/>
      <c r="R52" s="39"/>
      <c r="S52" s="39"/>
      <c r="T52" s="41"/>
      <c r="U52" s="39"/>
      <c r="V52" s="39"/>
      <c r="W52" s="39"/>
      <c r="X52" s="41"/>
      <c r="Y52" s="39"/>
      <c r="Z52" s="39"/>
      <c r="AA52" s="39"/>
      <c r="AB52" s="41"/>
      <c r="AC52" s="39"/>
      <c r="AD52" s="39"/>
      <c r="AE52" s="39"/>
      <c r="AF52" s="39"/>
    </row>
    <row r="53" spans="1:32" ht="25.5" customHeight="1" x14ac:dyDescent="0.25">
      <c r="A53" s="39"/>
      <c r="B53" s="39"/>
      <c r="C53" s="40"/>
      <c r="D53" s="40"/>
      <c r="E53" s="40"/>
      <c r="F53" s="40"/>
      <c r="G53" s="39"/>
      <c r="H53" s="41"/>
      <c r="I53" s="39"/>
      <c r="J53" s="39"/>
      <c r="K53" s="39"/>
      <c r="L53" s="41"/>
      <c r="M53" s="39"/>
      <c r="N53" s="39"/>
      <c r="O53" s="39"/>
      <c r="P53" s="41"/>
      <c r="Q53" s="39"/>
      <c r="R53" s="39"/>
      <c r="S53" s="39"/>
      <c r="T53" s="41"/>
      <c r="U53" s="39"/>
      <c r="V53" s="39"/>
      <c r="W53" s="39"/>
      <c r="X53" s="41"/>
      <c r="Y53" s="39"/>
      <c r="Z53" s="39"/>
      <c r="AA53" s="39"/>
      <c r="AB53" s="41"/>
      <c r="AC53" s="39"/>
      <c r="AD53" s="39"/>
      <c r="AE53" s="39"/>
      <c r="AF53" s="39"/>
    </row>
    <row r="54" spans="1:32" ht="25.5" customHeight="1" x14ac:dyDescent="0.25">
      <c r="A54" s="39"/>
      <c r="B54" s="39"/>
      <c r="C54" s="40"/>
      <c r="D54" s="40"/>
      <c r="E54" s="40"/>
      <c r="F54" s="40"/>
      <c r="G54" s="39"/>
      <c r="H54" s="41"/>
      <c r="I54" s="39"/>
      <c r="J54" s="39"/>
      <c r="K54" s="39"/>
      <c r="L54" s="41"/>
      <c r="M54" s="39"/>
      <c r="N54" s="39"/>
      <c r="O54" s="39"/>
      <c r="P54" s="41"/>
      <c r="Q54" s="39"/>
      <c r="R54" s="39"/>
      <c r="S54" s="39"/>
      <c r="T54" s="41"/>
      <c r="U54" s="39"/>
      <c r="V54" s="39"/>
      <c r="W54" s="39"/>
      <c r="X54" s="41"/>
      <c r="Y54" s="39"/>
      <c r="Z54" s="39"/>
      <c r="AA54" s="39"/>
      <c r="AB54" s="41"/>
      <c r="AC54" s="39"/>
      <c r="AD54" s="39"/>
      <c r="AE54" s="39"/>
      <c r="AF54" s="39"/>
    </row>
    <row r="55" spans="1:32" ht="15.75" customHeight="1" thickBot="1" x14ac:dyDescent="0.3">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row>
    <row r="56" spans="1:32" ht="28.5" customHeight="1" x14ac:dyDescent="0.25">
      <c r="A56" s="55" t="s">
        <v>184</v>
      </c>
      <c r="B56" s="4" t="s">
        <v>14</v>
      </c>
      <c r="C56" s="5" t="s">
        <v>15</v>
      </c>
      <c r="D56" s="5" t="s">
        <v>16</v>
      </c>
      <c r="E56" s="5" t="s">
        <v>17</v>
      </c>
      <c r="F56" s="5" t="s">
        <v>18</v>
      </c>
      <c r="G56" s="4"/>
      <c r="H56" s="21" t="s">
        <v>29</v>
      </c>
      <c r="I56" s="4"/>
      <c r="J56" s="17"/>
      <c r="K56" s="4" t="s">
        <v>19</v>
      </c>
      <c r="L56" s="21" t="s">
        <v>29</v>
      </c>
      <c r="M56" s="4"/>
      <c r="N56" s="4"/>
      <c r="O56" s="4" t="s">
        <v>19</v>
      </c>
      <c r="P56" s="21"/>
      <c r="Q56" s="4"/>
      <c r="R56" s="4"/>
      <c r="S56" s="4" t="s">
        <v>19</v>
      </c>
      <c r="T56" s="21"/>
      <c r="U56" s="4"/>
      <c r="V56" s="4"/>
      <c r="W56" s="4" t="s">
        <v>19</v>
      </c>
      <c r="X56" s="21"/>
      <c r="Y56" s="4"/>
      <c r="Z56" s="4"/>
      <c r="AA56" s="4" t="s">
        <v>19</v>
      </c>
      <c r="AB56" s="21"/>
      <c r="AC56" s="4"/>
      <c r="AD56" s="4"/>
      <c r="AE56" s="4" t="s">
        <v>19</v>
      </c>
      <c r="AF56" s="4"/>
    </row>
    <row r="57" spans="1:32" ht="28.5" customHeight="1" x14ac:dyDescent="0.25">
      <c r="A57" s="48"/>
      <c r="B57" s="4" t="s">
        <v>20</v>
      </c>
      <c r="C57" s="5" t="s">
        <v>15</v>
      </c>
      <c r="D57" s="5" t="s">
        <v>16</v>
      </c>
      <c r="E57" s="5" t="s">
        <v>17</v>
      </c>
      <c r="F57" s="5" t="s">
        <v>18</v>
      </c>
      <c r="G57" s="4"/>
      <c r="H57" s="21" t="s">
        <v>29</v>
      </c>
      <c r="I57" s="4"/>
      <c r="J57" s="17"/>
      <c r="K57" s="4" t="s">
        <v>19</v>
      </c>
      <c r="L57" s="21" t="s">
        <v>29</v>
      </c>
      <c r="M57" s="4"/>
      <c r="N57" s="4"/>
      <c r="O57" s="4" t="s">
        <v>19</v>
      </c>
      <c r="P57" s="21"/>
      <c r="Q57" s="4"/>
      <c r="R57" s="4"/>
      <c r="S57" s="4" t="s">
        <v>19</v>
      </c>
      <c r="T57" s="21"/>
      <c r="U57" s="4"/>
      <c r="V57" s="4"/>
      <c r="W57" s="4" t="s">
        <v>19</v>
      </c>
      <c r="X57" s="21"/>
      <c r="Y57" s="4"/>
      <c r="Z57" s="4"/>
      <c r="AA57" s="4" t="s">
        <v>19</v>
      </c>
      <c r="AB57" s="21"/>
      <c r="AC57" s="4"/>
      <c r="AD57" s="4"/>
      <c r="AE57" s="4" t="s">
        <v>19</v>
      </c>
      <c r="AF57" s="4"/>
    </row>
    <row r="58" spans="1:32" ht="28.5" customHeight="1" x14ac:dyDescent="0.25">
      <c r="A58" s="48"/>
      <c r="B58" s="4" t="s">
        <v>21</v>
      </c>
      <c r="C58" s="5">
        <v>0.3125</v>
      </c>
      <c r="D58" s="5" t="s">
        <v>16</v>
      </c>
      <c r="E58" s="5" t="s">
        <v>17</v>
      </c>
      <c r="F58" s="5" t="s">
        <v>18</v>
      </c>
      <c r="G58" s="4"/>
      <c r="H58" s="21" t="s">
        <v>29</v>
      </c>
      <c r="I58" s="4"/>
      <c r="J58" s="17"/>
      <c r="K58" s="4" t="s">
        <v>19</v>
      </c>
      <c r="L58" s="21" t="s">
        <v>29</v>
      </c>
      <c r="M58" s="4"/>
      <c r="N58" s="4"/>
      <c r="O58" s="4" t="s">
        <v>19</v>
      </c>
      <c r="P58" s="21"/>
      <c r="Q58" s="4"/>
      <c r="R58" s="4"/>
      <c r="S58" s="4" t="s">
        <v>19</v>
      </c>
      <c r="T58" s="21"/>
      <c r="U58" s="4"/>
      <c r="V58" s="4"/>
      <c r="W58" s="4" t="s">
        <v>19</v>
      </c>
      <c r="X58" s="21"/>
      <c r="Y58" s="4"/>
      <c r="Z58" s="4"/>
      <c r="AA58" s="4" t="s">
        <v>19</v>
      </c>
      <c r="AB58" s="21"/>
      <c r="AC58" s="4"/>
      <c r="AD58" s="4"/>
      <c r="AE58" s="4" t="s">
        <v>19</v>
      </c>
      <c r="AF58" s="4"/>
    </row>
    <row r="59" spans="1:32" ht="28.5" customHeight="1" x14ac:dyDescent="0.25">
      <c r="A59" s="48"/>
      <c r="B59" s="4" t="s">
        <v>22</v>
      </c>
      <c r="C59" s="5" t="s">
        <v>15</v>
      </c>
      <c r="D59" s="5" t="s">
        <v>16</v>
      </c>
      <c r="E59" s="5" t="s">
        <v>17</v>
      </c>
      <c r="F59" s="5" t="s">
        <v>18</v>
      </c>
      <c r="G59" s="4"/>
      <c r="H59" s="21"/>
      <c r="I59" s="4"/>
      <c r="J59" s="4"/>
      <c r="K59" s="4" t="s">
        <v>19</v>
      </c>
      <c r="L59" s="21" t="s">
        <v>29</v>
      </c>
      <c r="M59" s="4"/>
      <c r="N59" s="4"/>
      <c r="O59" s="4" t="s">
        <v>19</v>
      </c>
      <c r="P59" s="21" t="s">
        <v>29</v>
      </c>
      <c r="Q59" s="4">
        <v>16150</v>
      </c>
      <c r="R59" s="4" t="s">
        <v>56</v>
      </c>
      <c r="S59" s="4" t="s">
        <v>19</v>
      </c>
      <c r="T59" s="21"/>
      <c r="U59" s="4"/>
      <c r="V59" s="4"/>
      <c r="W59" s="4" t="s">
        <v>19</v>
      </c>
      <c r="X59" s="21"/>
      <c r="Y59" s="4"/>
      <c r="Z59" s="4"/>
      <c r="AA59" s="4" t="s">
        <v>19</v>
      </c>
      <c r="AB59" s="21"/>
      <c r="AC59" s="4"/>
      <c r="AD59" s="4"/>
      <c r="AE59" s="4" t="s">
        <v>19</v>
      </c>
      <c r="AF59" s="4"/>
    </row>
    <row r="60" spans="1:32" ht="28.5" customHeight="1" x14ac:dyDescent="0.25">
      <c r="A60" s="48"/>
      <c r="B60" s="4" t="s">
        <v>23</v>
      </c>
      <c r="C60" s="5" t="s">
        <v>15</v>
      </c>
      <c r="D60" s="5" t="s">
        <v>16</v>
      </c>
      <c r="E60" s="5" t="s">
        <v>17</v>
      </c>
      <c r="F60" s="5" t="s">
        <v>18</v>
      </c>
      <c r="G60" s="4"/>
      <c r="H60" s="21"/>
      <c r="I60" s="4"/>
      <c r="J60" s="4"/>
      <c r="K60" s="4" t="s">
        <v>19</v>
      </c>
      <c r="L60" s="21" t="s">
        <v>29</v>
      </c>
      <c r="M60" s="4"/>
      <c r="N60" s="4"/>
      <c r="O60" s="4" t="s">
        <v>19</v>
      </c>
      <c r="P60" s="21" t="s">
        <v>29</v>
      </c>
      <c r="Q60" s="4">
        <v>16150</v>
      </c>
      <c r="R60" s="4" t="s">
        <v>56</v>
      </c>
      <c r="S60" s="4" t="s">
        <v>19</v>
      </c>
      <c r="T60" s="21"/>
      <c r="U60" s="4"/>
      <c r="V60" s="4"/>
      <c r="W60" s="4" t="s">
        <v>19</v>
      </c>
      <c r="X60" s="21"/>
      <c r="Y60" s="4"/>
      <c r="Z60" s="4"/>
      <c r="AA60" s="4" t="s">
        <v>19</v>
      </c>
      <c r="AB60" s="21"/>
      <c r="AC60" s="4"/>
      <c r="AD60" s="4"/>
      <c r="AE60" s="4" t="s">
        <v>19</v>
      </c>
      <c r="AF60" s="4"/>
    </row>
    <row r="61" spans="1:32" ht="28.5" customHeight="1" x14ac:dyDescent="0.25">
      <c r="A61" s="56"/>
      <c r="B61" s="4" t="s">
        <v>24</v>
      </c>
      <c r="C61" s="5" t="s">
        <v>25</v>
      </c>
      <c r="D61" s="5"/>
      <c r="E61" s="5"/>
      <c r="F61" s="5" t="s">
        <v>16</v>
      </c>
      <c r="G61" s="4"/>
      <c r="H61" s="21"/>
      <c r="I61" s="4"/>
      <c r="J61" s="4"/>
      <c r="K61" s="4" t="s">
        <v>19</v>
      </c>
      <c r="L61" s="21"/>
      <c r="M61" s="4"/>
      <c r="N61" s="4"/>
      <c r="O61" s="4" t="s">
        <v>19</v>
      </c>
      <c r="P61" s="21"/>
      <c r="Q61" s="4"/>
      <c r="R61" s="4"/>
      <c r="S61" s="4" t="s">
        <v>19</v>
      </c>
      <c r="T61" s="21"/>
      <c r="U61" s="4"/>
      <c r="V61" s="4"/>
      <c r="W61" s="4" t="s">
        <v>19</v>
      </c>
      <c r="X61" s="21"/>
      <c r="Y61" s="4"/>
      <c r="Z61" s="4"/>
      <c r="AA61" s="4" t="s">
        <v>19</v>
      </c>
      <c r="AB61" s="21"/>
      <c r="AC61" s="4"/>
      <c r="AD61" s="4"/>
      <c r="AE61" s="4" t="s">
        <v>19</v>
      </c>
      <c r="AF61" s="4"/>
    </row>
    <row r="62" spans="1:32" ht="11.25" customHeight="1" thickBot="1" x14ac:dyDescent="0.3">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row>
    <row r="63" spans="1:32" ht="25.5" customHeight="1" x14ac:dyDescent="0.25">
      <c r="A63" s="39" t="s">
        <v>191</v>
      </c>
      <c r="B63" s="39"/>
      <c r="C63" s="40"/>
      <c r="D63" s="40"/>
      <c r="E63" s="40"/>
      <c r="F63" s="40"/>
      <c r="G63" s="39"/>
      <c r="H63" s="41"/>
      <c r="I63" s="39"/>
      <c r="J63" s="39"/>
      <c r="K63" s="39"/>
      <c r="L63" s="41"/>
      <c r="M63" s="39"/>
      <c r="N63" s="39"/>
      <c r="O63" s="39"/>
      <c r="P63" s="41"/>
      <c r="Q63" s="39"/>
      <c r="R63" s="39"/>
      <c r="S63" s="39"/>
      <c r="T63" s="41"/>
      <c r="U63" s="39"/>
      <c r="V63" s="39"/>
      <c r="W63" s="39"/>
      <c r="X63" s="41"/>
      <c r="Y63" s="39"/>
      <c r="Z63" s="39"/>
      <c r="AA63" s="39"/>
      <c r="AB63" s="41"/>
      <c r="AC63" s="39"/>
      <c r="AD63" s="39"/>
      <c r="AE63" s="39"/>
      <c r="AF63" s="39"/>
    </row>
    <row r="64" spans="1:32" ht="25.5" customHeight="1" x14ac:dyDescent="0.25">
      <c r="A64" s="39"/>
      <c r="B64" s="39"/>
      <c r="C64" s="40"/>
      <c r="D64" s="40"/>
      <c r="E64" s="40"/>
      <c r="F64" s="40"/>
      <c r="G64" s="39"/>
      <c r="H64" s="41"/>
      <c r="I64" s="39"/>
      <c r="J64" s="39"/>
      <c r="K64" s="39"/>
      <c r="L64" s="41"/>
      <c r="M64" s="39"/>
      <c r="N64" s="39"/>
      <c r="O64" s="39"/>
      <c r="P64" s="41"/>
      <c r="Q64" s="39"/>
      <c r="R64" s="39"/>
      <c r="S64" s="39"/>
      <c r="T64" s="41"/>
      <c r="U64" s="39"/>
      <c r="V64" s="39"/>
      <c r="W64" s="39"/>
      <c r="X64" s="41"/>
      <c r="Y64" s="39"/>
      <c r="Z64" s="39"/>
      <c r="AA64" s="39"/>
      <c r="AB64" s="41"/>
      <c r="AC64" s="39"/>
      <c r="AD64" s="39"/>
      <c r="AE64" s="39"/>
      <c r="AF64" s="39"/>
    </row>
    <row r="65" spans="1:32" ht="25.5" customHeight="1" x14ac:dyDescent="0.25">
      <c r="A65" s="39"/>
      <c r="B65" s="39"/>
      <c r="C65" s="40"/>
      <c r="D65" s="40"/>
      <c r="E65" s="40"/>
      <c r="F65" s="40"/>
      <c r="G65" s="39"/>
      <c r="H65" s="41"/>
      <c r="I65" s="39"/>
      <c r="J65" s="39"/>
      <c r="K65" s="39"/>
      <c r="L65" s="41"/>
      <c r="M65" s="39"/>
      <c r="N65" s="39"/>
      <c r="O65" s="39"/>
      <c r="P65" s="41"/>
      <c r="Q65" s="39"/>
      <c r="R65" s="39"/>
      <c r="S65" s="39"/>
      <c r="T65" s="41"/>
      <c r="U65" s="39"/>
      <c r="V65" s="39"/>
      <c r="W65" s="39"/>
      <c r="X65" s="41"/>
      <c r="Y65" s="39"/>
      <c r="Z65" s="39"/>
      <c r="AA65" s="39"/>
      <c r="AB65" s="41"/>
      <c r="AC65" s="39"/>
      <c r="AD65" s="39"/>
      <c r="AE65" s="39"/>
      <c r="AF65" s="39"/>
    </row>
  </sheetData>
  <mergeCells count="19">
    <mergeCell ref="A44:AF44"/>
    <mergeCell ref="K42:R42"/>
    <mergeCell ref="K5:R5"/>
    <mergeCell ref="A62:AF62"/>
    <mergeCell ref="A55:AF55"/>
    <mergeCell ref="A56:A61"/>
    <mergeCell ref="A30:A35"/>
    <mergeCell ref="A19:A24"/>
    <mergeCell ref="A51:AF51"/>
    <mergeCell ref="A45:A50"/>
    <mergeCell ref="A1:AF1"/>
    <mergeCell ref="A36:AF36"/>
    <mergeCell ref="A29:AF29"/>
    <mergeCell ref="A2:AF2"/>
    <mergeCell ref="A18:AF18"/>
    <mergeCell ref="A8:A13"/>
    <mergeCell ref="F4:G4"/>
    <mergeCell ref="A14:AF14"/>
    <mergeCell ref="A25:AF25"/>
  </mergeCells>
  <phoneticPr fontId="9" type="noConversion"/>
  <conditionalFormatting sqref="G8:G13 G15:G17">
    <cfRule type="cellIs" dxfId="89" priority="156" operator="equal">
      <formula>"SECTOR1"</formula>
    </cfRule>
    <cfRule type="cellIs" dxfId="88" priority="155" operator="equal">
      <formula>"SECTOR1"</formula>
    </cfRule>
    <cfRule type="cellIs" dxfId="87" priority="154" operator="equal">
      <formula>"SECTOR 1"</formula>
    </cfRule>
    <cfRule type="cellIs" dxfId="86" priority="152" operator="equal">
      <formula>"SECTOR 3"</formula>
    </cfRule>
    <cfRule type="cellIs" dxfId="85" priority="153" operator="equal">
      <formula>"SECTOR 2"</formula>
    </cfRule>
  </conditionalFormatting>
  <conditionalFormatting sqref="G19:G24">
    <cfRule type="cellIs" dxfId="84" priority="147" operator="equal">
      <formula>"SECTOR 3"</formula>
    </cfRule>
    <cfRule type="cellIs" dxfId="83" priority="151" operator="equal">
      <formula>"SECTOR1"</formula>
    </cfRule>
    <cfRule type="cellIs" dxfId="82" priority="150" operator="equal">
      <formula>"SECTOR1"</formula>
    </cfRule>
    <cfRule type="cellIs" dxfId="81" priority="149" operator="equal">
      <formula>"SECTOR 1"</formula>
    </cfRule>
    <cfRule type="cellIs" dxfId="80" priority="148" operator="equal">
      <formula>"SECTOR 2"</formula>
    </cfRule>
  </conditionalFormatting>
  <conditionalFormatting sqref="G26:G28">
    <cfRule type="cellIs" dxfId="79" priority="79" operator="equal">
      <formula>"SECTOR 3"</formula>
    </cfRule>
    <cfRule type="cellIs" dxfId="78" priority="83" operator="equal">
      <formula>"SECTOR1"</formula>
    </cfRule>
    <cfRule type="cellIs" dxfId="77" priority="81" operator="equal">
      <formula>"SECTOR 1"</formula>
    </cfRule>
    <cfRule type="cellIs" dxfId="76" priority="82" operator="equal">
      <formula>"SECTOR1"</formula>
    </cfRule>
    <cfRule type="cellIs" dxfId="75" priority="80" operator="equal">
      <formula>"SECTOR 2"</formula>
    </cfRule>
  </conditionalFormatting>
  <conditionalFormatting sqref="G30:G35">
    <cfRule type="cellIs" dxfId="74" priority="143" operator="equal">
      <formula>"SECTOR 2"</formula>
    </cfRule>
    <cfRule type="cellIs" dxfId="73" priority="142" operator="equal">
      <formula>"SECTOR 3"</formula>
    </cfRule>
    <cfRule type="cellIs" dxfId="72" priority="146" operator="equal">
      <formula>"SECTOR1"</formula>
    </cfRule>
    <cfRule type="cellIs" dxfId="71" priority="145" operator="equal">
      <formula>"SECTOR1"</formula>
    </cfRule>
    <cfRule type="cellIs" dxfId="70" priority="144" operator="equal">
      <formula>"SECTOR 1"</formula>
    </cfRule>
  </conditionalFormatting>
  <conditionalFormatting sqref="G37:G39">
    <cfRule type="cellIs" dxfId="69" priority="72" operator="equal">
      <formula>"SECTOR1"</formula>
    </cfRule>
    <cfRule type="cellIs" dxfId="68" priority="73" operator="equal">
      <formula>"SECTOR1"</formula>
    </cfRule>
    <cfRule type="cellIs" dxfId="67" priority="69" operator="equal">
      <formula>"SECTOR 3"</formula>
    </cfRule>
    <cfRule type="cellIs" dxfId="66" priority="70" operator="equal">
      <formula>"SECTOR 2"</formula>
    </cfRule>
    <cfRule type="cellIs" dxfId="65" priority="71" operator="equal">
      <formula>"SECTOR 1"</formula>
    </cfRule>
  </conditionalFormatting>
  <conditionalFormatting sqref="G45:G50">
    <cfRule type="cellIs" dxfId="64" priority="125" operator="equal">
      <formula>"SECTOR 3"</formula>
    </cfRule>
    <cfRule type="cellIs" dxfId="63" priority="126" operator="equal">
      <formula>"SECTOR 2"</formula>
    </cfRule>
    <cfRule type="cellIs" dxfId="62" priority="127" operator="equal">
      <formula>"SECTOR 1"</formula>
    </cfRule>
    <cfRule type="cellIs" dxfId="61" priority="128" operator="equal">
      <formula>"SECTOR1"</formula>
    </cfRule>
    <cfRule type="cellIs" dxfId="60" priority="129" operator="equal">
      <formula>"SECTOR1"</formula>
    </cfRule>
  </conditionalFormatting>
  <conditionalFormatting sqref="G52:G54">
    <cfRule type="cellIs" dxfId="59" priority="51" operator="equal">
      <formula>"SECTOR1"</formula>
    </cfRule>
    <cfRule type="cellIs" dxfId="58" priority="50" operator="equal">
      <formula>"SECTOR1"</formula>
    </cfRule>
    <cfRule type="cellIs" dxfId="57" priority="49" operator="equal">
      <formula>"SECTOR 1"</formula>
    </cfRule>
    <cfRule type="cellIs" dxfId="56" priority="47" operator="equal">
      <formula>"SECTOR 3"</formula>
    </cfRule>
    <cfRule type="cellIs" dxfId="55" priority="48" operator="equal">
      <formula>"SECTOR 2"</formula>
    </cfRule>
  </conditionalFormatting>
  <conditionalFormatting sqref="G56:G61">
    <cfRule type="cellIs" dxfId="54" priority="108" operator="equal">
      <formula>"SECTOR 3"</formula>
    </cfRule>
    <cfRule type="cellIs" dxfId="53" priority="111" operator="equal">
      <formula>"SECTOR1"</formula>
    </cfRule>
    <cfRule type="cellIs" dxfId="52" priority="112" operator="equal">
      <formula>"SECTOR1"</formula>
    </cfRule>
    <cfRule type="cellIs" dxfId="51" priority="109" operator="equal">
      <formula>"SECTOR 2"</formula>
    </cfRule>
    <cfRule type="cellIs" dxfId="50" priority="110" operator="equal">
      <formula>"SECTOR 1"</formula>
    </cfRule>
  </conditionalFormatting>
  <conditionalFormatting sqref="G63:G65">
    <cfRule type="cellIs" dxfId="49" priority="16" operator="equal">
      <formula>"SECTOR1"</formula>
    </cfRule>
    <cfRule type="cellIs" dxfId="48" priority="15" operator="equal">
      <formula>"SECTOR 1"</formula>
    </cfRule>
    <cfRule type="cellIs" dxfId="47" priority="14" operator="equal">
      <formula>"SECTOR 2"</formula>
    </cfRule>
    <cfRule type="cellIs" dxfId="46" priority="13" operator="equal">
      <formula>"SECTOR 3"</formula>
    </cfRule>
    <cfRule type="cellIs" dxfId="45" priority="17" operator="equal">
      <formula>"SECTOR1"</formula>
    </cfRule>
  </conditionalFormatting>
  <conditionalFormatting sqref="K8:K39">
    <cfRule type="cellIs" dxfId="44" priority="163" stopIfTrue="1" operator="equal">
      <formula>"Pendiente"</formula>
    </cfRule>
    <cfRule type="cellIs" dxfId="43" priority="164" stopIfTrue="1" operator="equal">
      <formula>"En Inspección"</formula>
    </cfRule>
    <cfRule type="cellIs" dxfId="42" priority="165" stopIfTrue="1" operator="equal">
      <formula>"Realizado"</formula>
    </cfRule>
  </conditionalFormatting>
  <conditionalFormatting sqref="K44:K65">
    <cfRule type="cellIs" dxfId="41" priority="8" stopIfTrue="1" operator="equal">
      <formula>"En Inspección"</formula>
    </cfRule>
    <cfRule type="cellIs" dxfId="40" priority="9" stopIfTrue="1" operator="equal">
      <formula>"Realizado"</formula>
    </cfRule>
    <cfRule type="cellIs" dxfId="39" priority="7" stopIfTrue="1" operator="equal">
      <formula>"Pendiente"</formula>
    </cfRule>
  </conditionalFormatting>
  <conditionalFormatting sqref="O8:O39">
    <cfRule type="cellIs" dxfId="38" priority="160" stopIfTrue="1" operator="equal">
      <formula>"Pendiente"</formula>
    </cfRule>
    <cfRule type="cellIs" dxfId="37" priority="161" stopIfTrue="1" operator="equal">
      <formula>"En Inspección"</formula>
    </cfRule>
    <cfRule type="cellIs" dxfId="36" priority="162" stopIfTrue="1" operator="equal">
      <formula>"Realizado"</formula>
    </cfRule>
  </conditionalFormatting>
  <conditionalFormatting sqref="O44:O65">
    <cfRule type="cellIs" dxfId="35" priority="6" stopIfTrue="1" operator="equal">
      <formula>"Realizado"</formula>
    </cfRule>
    <cfRule type="cellIs" dxfId="34" priority="5" stopIfTrue="1" operator="equal">
      <formula>"En Inspección"</formula>
    </cfRule>
    <cfRule type="cellIs" dxfId="33" priority="4" stopIfTrue="1" operator="equal">
      <formula>"Pendiente"</formula>
    </cfRule>
  </conditionalFormatting>
  <conditionalFormatting sqref="S8:S39">
    <cfRule type="cellIs" dxfId="32" priority="157" stopIfTrue="1" operator="equal">
      <formula>"Pendiente"</formula>
    </cfRule>
    <cfRule type="cellIs" dxfId="31" priority="158" stopIfTrue="1" operator="equal">
      <formula>"En Inspección"</formula>
    </cfRule>
    <cfRule type="cellIs" dxfId="30" priority="159" stopIfTrue="1" operator="equal">
      <formula>"Realizado"</formula>
    </cfRule>
  </conditionalFormatting>
  <conditionalFormatting sqref="S44:S65">
    <cfRule type="cellIs" dxfId="29" priority="3" stopIfTrue="1" operator="equal">
      <formula>"Realizado"</formula>
    </cfRule>
    <cfRule type="cellIs" dxfId="28" priority="2" stopIfTrue="1" operator="equal">
      <formula>"En Inspección"</formula>
    </cfRule>
    <cfRule type="cellIs" dxfId="27" priority="1" stopIfTrue="1" operator="equal">
      <formula>"Pendiente"</formula>
    </cfRule>
  </conditionalFormatting>
  <conditionalFormatting sqref="W8:W39 AA8:AA39 AE8:AE39">
    <cfRule type="cellIs" dxfId="26" priority="166" stopIfTrue="1" operator="equal">
      <formula>"Pendiente"</formula>
    </cfRule>
    <cfRule type="cellIs" dxfId="25" priority="167" stopIfTrue="1" operator="equal">
      <formula>"En Inspección"</formula>
    </cfRule>
    <cfRule type="cellIs" dxfId="24" priority="168" stopIfTrue="1" operator="equal">
      <formula>"Realizado"</formula>
    </cfRule>
  </conditionalFormatting>
  <conditionalFormatting sqref="W44:W65 AA44:AA65 AE44:AE65">
    <cfRule type="cellIs" dxfId="23" priority="12" stopIfTrue="1" operator="equal">
      <formula>"Realizado"</formula>
    </cfRule>
    <cfRule type="cellIs" dxfId="22" priority="11" stopIfTrue="1" operator="equal">
      <formula>"En Inspección"</formula>
    </cfRule>
    <cfRule type="cellIs" dxfId="21" priority="10" stopIfTrue="1" operator="equal">
      <formula>"Pendiente"</formula>
    </cfRule>
  </conditionalFormatting>
  <dataValidations count="4">
    <dataValidation type="list" allowBlank="1" errorTitle="Horario Inválido" error="Por favor selecciona un horario de la lista (17:30 o 19:00)" promptTitle="Horario de Salida" prompt="Selecciona la hora de salida" sqref="F8:F39 F44:F65" xr:uid="{00000000-0002-0000-0000-000000000000}">
      <formula1>"17:30,19:00"</formula1>
    </dataValidation>
    <dataValidation type="list" allowBlank="1" errorTitle="Sector Inválido" error="Por favor selecciona un sector válido (Sector 1, Sector 2 o Sector 3)" promptTitle="Asignación de Sector" prompt="Selecciona el sector" sqref="G8:G39 G44:G65" xr:uid="{00000000-0002-0000-0000-000001000000}">
      <formula1>"Sector 1,Sector 2,Sector 3"</formula1>
    </dataValidation>
    <dataValidation type="list" allowBlank="1" errorTitle="Tipo de Exigencia Inválido" error="Por favor selecciona una opción válida de Tipo de Exigencia" promptTitle="Tipo de Exigencia" prompt="Selecciona el tipo de exigencia" sqref="P8:P39 T8:T39 AB8:AB39 X8:X39 L8:L39 H8:H39 H44:H65 L44:L65 X44:X65 AB44:AB65 T44:T65 P44:P65" xr:uid="{00000000-0002-0000-0000-000002000000}">
      <formula1>"ETO,RCA,Requerimiento Interno,En Ruta,otro,N/A"</formula1>
    </dataValidation>
    <dataValidation type="list" allowBlank="1" errorTitle="Estado Inválido" error="Por favor selecciona &quot;Realizado&quot;, &quot;Pendiente&quot; o &quot;En Inspección&quot;" promptTitle="Estado del proceso" prompt="Selecciona el estado" sqref="AE8:AE39 S8:S39 O8:O39 K8:K39 W8:W39 AA8:AA39 AA44:AA65 W44:W65 K44:K65 O44:O65 S44:S65 AE44:AE65" xr:uid="{00000000-0002-0000-0000-000003000000}">
      <formula1>"Realizado,Pendiente,En Inspección"</formula1>
    </dataValidation>
  </dataValidations>
  <pageMargins left="0.25" right="0.25" top="0.75" bottom="0.75" header="0.3" footer="0.3"/>
  <pageSetup paperSize="132" scale="55" orientation="landscape" r:id="rId1"/>
  <rowBreaks count="2" manualBreakCount="2">
    <brk id="28" max="31" man="1"/>
    <brk id="40" max="31" man="1"/>
  </rowBreaks>
  <colBreaks count="1" manualBreakCount="1">
    <brk id="3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1E3C-0FC6-4FBC-A536-C76F75338E45}">
  <dimension ref="B5:H12"/>
  <sheetViews>
    <sheetView workbookViewId="0">
      <selection activeCell="C25" sqref="C25"/>
    </sheetView>
  </sheetViews>
  <sheetFormatPr baseColWidth="10" defaultRowHeight="15" x14ac:dyDescent="0.25"/>
  <cols>
    <col min="1" max="1" width="4.7109375" customWidth="1"/>
    <col min="2" max="2" width="24.28515625" bestFit="1" customWidth="1"/>
    <col min="5" max="5" width="11.140625" customWidth="1"/>
  </cols>
  <sheetData>
    <row r="5" spans="2:8" ht="42.75" customHeight="1" x14ac:dyDescent="0.3">
      <c r="B5" s="57" t="s">
        <v>185</v>
      </c>
      <c r="C5" s="57"/>
      <c r="D5" s="57"/>
      <c r="E5" s="57"/>
      <c r="F5" s="57"/>
      <c r="G5" s="57"/>
      <c r="H5" s="57"/>
    </row>
    <row r="6" spans="2:8" ht="15.75" thickBot="1" x14ac:dyDescent="0.3"/>
    <row r="7" spans="2:8" ht="27.75" customHeight="1" x14ac:dyDescent="0.25">
      <c r="B7" s="24" t="s">
        <v>27</v>
      </c>
      <c r="C7" s="25" t="s">
        <v>3</v>
      </c>
      <c r="D7" s="25" t="s">
        <v>4</v>
      </c>
      <c r="E7" s="25" t="s">
        <v>172</v>
      </c>
      <c r="F7" s="25" t="s">
        <v>173</v>
      </c>
      <c r="G7" s="25" t="s">
        <v>5</v>
      </c>
      <c r="H7" s="26" t="s">
        <v>6</v>
      </c>
    </row>
    <row r="8" spans="2:8" ht="27.75" customHeight="1" x14ac:dyDescent="0.25">
      <c r="B8" s="27" t="s">
        <v>171</v>
      </c>
      <c r="C8" s="28" t="s">
        <v>14</v>
      </c>
      <c r="D8" s="29">
        <v>0.3125</v>
      </c>
      <c r="E8" s="29" t="s">
        <v>16</v>
      </c>
      <c r="F8" s="29" t="s">
        <v>17</v>
      </c>
      <c r="G8" s="29">
        <v>0.79166666666666663</v>
      </c>
      <c r="H8" s="30" t="s">
        <v>168</v>
      </c>
    </row>
    <row r="9" spans="2:8" ht="27.75" customHeight="1" x14ac:dyDescent="0.25">
      <c r="B9" s="27" t="s">
        <v>179</v>
      </c>
      <c r="C9" s="28" t="s">
        <v>20</v>
      </c>
      <c r="D9" s="29">
        <v>0.3125</v>
      </c>
      <c r="E9" s="29" t="s">
        <v>16</v>
      </c>
      <c r="F9" s="29" t="s">
        <v>17</v>
      </c>
      <c r="G9" s="29">
        <v>0.79166666666666663</v>
      </c>
      <c r="H9" s="30" t="s">
        <v>169</v>
      </c>
    </row>
    <row r="10" spans="2:8" ht="27.75" customHeight="1" x14ac:dyDescent="0.25">
      <c r="B10" s="27" t="s">
        <v>178</v>
      </c>
      <c r="C10" s="28" t="s">
        <v>21</v>
      </c>
      <c r="D10" s="29">
        <v>0.3125</v>
      </c>
      <c r="E10" s="29" t="s">
        <v>16</v>
      </c>
      <c r="F10" s="29" t="s">
        <v>17</v>
      </c>
      <c r="G10" s="29">
        <v>0.79166666666666663</v>
      </c>
      <c r="H10" s="30" t="s">
        <v>170</v>
      </c>
    </row>
    <row r="11" spans="2:8" ht="27.75" customHeight="1" x14ac:dyDescent="0.25">
      <c r="B11" s="27" t="s">
        <v>183</v>
      </c>
      <c r="C11" s="28" t="s">
        <v>22</v>
      </c>
      <c r="D11" s="29">
        <v>0.3125</v>
      </c>
      <c r="E11" s="29" t="s">
        <v>16</v>
      </c>
      <c r="F11" s="29" t="s">
        <v>17</v>
      </c>
      <c r="G11" s="29">
        <v>0.79166666666666663</v>
      </c>
      <c r="H11" s="30"/>
    </row>
    <row r="12" spans="2:8" ht="28.5" customHeight="1" thickBot="1" x14ac:dyDescent="0.3">
      <c r="B12" s="31" t="s">
        <v>184</v>
      </c>
      <c r="C12" s="32" t="s">
        <v>23</v>
      </c>
      <c r="D12" s="33">
        <v>0.3125</v>
      </c>
      <c r="E12" s="33" t="s">
        <v>16</v>
      </c>
      <c r="F12" s="33" t="s">
        <v>17</v>
      </c>
      <c r="G12" s="33" t="s">
        <v>18</v>
      </c>
      <c r="H12" s="34"/>
    </row>
  </sheetData>
  <mergeCells count="1">
    <mergeCell ref="B5:H5"/>
  </mergeCells>
  <phoneticPr fontId="9" type="noConversion"/>
  <conditionalFormatting sqref="H8:H12">
    <cfRule type="cellIs" dxfId="20" priority="1" operator="equal">
      <formula>"SECTOR 3"</formula>
    </cfRule>
    <cfRule type="cellIs" dxfId="19" priority="2" operator="equal">
      <formula>"SECTOR 2"</formula>
    </cfRule>
    <cfRule type="cellIs" dxfId="18" priority="3" operator="equal">
      <formula>"SECTOR 1"</formula>
    </cfRule>
    <cfRule type="cellIs" dxfId="17" priority="4" operator="equal">
      <formula>"SECTOR1"</formula>
    </cfRule>
    <cfRule type="cellIs" dxfId="16" priority="5" operator="equal">
      <formula>"SECTOR1"</formula>
    </cfRule>
  </conditionalFormatting>
  <dataValidations count="2">
    <dataValidation type="list" allowBlank="1" errorTitle="Sector Inválido" error="Por favor selecciona un sector válido (Sector 1, Sector 2 o Sector 3)" promptTitle="Asignación de Sector" prompt="Selecciona el sector" sqref="H8:H12" xr:uid="{00AB9CDE-F352-4959-A3CC-02DEAF9955F9}">
      <formula1>"Sector 1,Sector 2,Sector 3"</formula1>
    </dataValidation>
    <dataValidation type="list" allowBlank="1" errorTitle="Horario Inválido" error="Por favor selecciona un horario de la lista (17:30 o 19:00)" promptTitle="Horario de Salida" prompt="Selecciona la hora de salida" sqref="G8:G12" xr:uid="{BD384F2E-BDD4-41A7-A270-81BFC80FC8FD}">
      <formula1>"17:30,19:00"</formula1>
    </dataValidation>
  </dataValidation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71D2-B0AF-4864-8983-BC7E0AD60C5B}">
  <dimension ref="B5:N46"/>
  <sheetViews>
    <sheetView zoomScale="85" zoomScaleNormal="85" workbookViewId="0">
      <selection activeCell="D9" sqref="D9"/>
    </sheetView>
  </sheetViews>
  <sheetFormatPr baseColWidth="10" defaultRowHeight="15" x14ac:dyDescent="0.25"/>
  <cols>
    <col min="2" max="2" width="7.5703125" customWidth="1"/>
    <col min="3" max="3" width="9.85546875" customWidth="1"/>
    <col min="4" max="4" width="41.5703125" bestFit="1" customWidth="1"/>
    <col min="5" max="5" width="16.7109375" bestFit="1" customWidth="1"/>
    <col min="6" max="6" width="46.7109375" style="9" customWidth="1"/>
    <col min="7" max="7" width="39.28515625" style="9" customWidth="1"/>
    <col min="8" max="9" width="13.85546875" style="7" customWidth="1"/>
    <col min="10" max="10" width="11.42578125" style="8"/>
    <col min="11" max="11" width="53.140625" style="9" customWidth="1"/>
    <col min="12" max="12" width="13.42578125" bestFit="1" customWidth="1"/>
    <col min="13" max="13" width="11.85546875" bestFit="1" customWidth="1"/>
    <col min="14" max="14" width="19.5703125" bestFit="1" customWidth="1"/>
  </cols>
  <sheetData>
    <row r="5" spans="2:14" ht="26.25" customHeight="1" x14ac:dyDescent="0.25">
      <c r="B5" s="11" t="s">
        <v>153</v>
      </c>
      <c r="C5" s="12" t="s">
        <v>29</v>
      </c>
      <c r="D5" s="12" t="s">
        <v>82</v>
      </c>
      <c r="E5" s="12" t="s">
        <v>33</v>
      </c>
      <c r="F5" s="13" t="s">
        <v>83</v>
      </c>
      <c r="G5" s="13" t="s">
        <v>84</v>
      </c>
      <c r="H5" s="14" t="s">
        <v>85</v>
      </c>
      <c r="I5" s="14" t="s">
        <v>87</v>
      </c>
      <c r="J5" s="15" t="s">
        <v>86</v>
      </c>
      <c r="K5" s="13" t="s">
        <v>88</v>
      </c>
      <c r="L5" s="12" t="s">
        <v>89</v>
      </c>
      <c r="M5" s="11" t="s">
        <v>154</v>
      </c>
    </row>
    <row r="6" spans="2:14" ht="47.25" customHeight="1" x14ac:dyDescent="0.25">
      <c r="C6">
        <v>16159</v>
      </c>
      <c r="D6" s="19" t="s">
        <v>28</v>
      </c>
      <c r="E6" s="9" t="s">
        <v>158</v>
      </c>
      <c r="F6" s="9" t="s">
        <v>53</v>
      </c>
      <c r="G6" s="9" t="s">
        <v>30</v>
      </c>
      <c r="H6" s="7">
        <v>46279</v>
      </c>
      <c r="I6" s="7">
        <v>46288</v>
      </c>
      <c r="J6" s="8">
        <f>I6-H6+1</f>
        <v>10</v>
      </c>
      <c r="K6" s="9" t="s">
        <v>31</v>
      </c>
      <c r="L6" t="s">
        <v>32</v>
      </c>
      <c r="M6" t="str">
        <f ca="1">IF(TODAY()&lt;=I6, "VIGENTE", "VENCIDA")</f>
        <v>VIGENTE</v>
      </c>
      <c r="N6" t="s">
        <v>177</v>
      </c>
    </row>
    <row r="7" spans="2:14" ht="47.25" customHeight="1" x14ac:dyDescent="0.25">
      <c r="C7">
        <v>16210</v>
      </c>
      <c r="D7" t="s">
        <v>40</v>
      </c>
      <c r="E7" t="s">
        <v>159</v>
      </c>
      <c r="F7" s="9" t="s">
        <v>41</v>
      </c>
      <c r="G7" s="9" t="s">
        <v>41</v>
      </c>
      <c r="H7" s="7">
        <v>46294</v>
      </c>
      <c r="I7" s="7">
        <v>46295</v>
      </c>
      <c r="J7" s="8">
        <f t="shared" ref="J7:J29" si="0">I7-H7+1</f>
        <v>2</v>
      </c>
      <c r="K7" s="9" t="s">
        <v>42</v>
      </c>
      <c r="L7" t="s">
        <v>32</v>
      </c>
      <c r="M7" t="str">
        <f t="shared" ref="M7:M46" ca="1" si="1">IF(TODAY()&lt;=I7, "VIGENTE", "VENCIDO")</f>
        <v>VIGENTE</v>
      </c>
    </row>
    <row r="8" spans="2:14" ht="47.25" customHeight="1" x14ac:dyDescent="0.25">
      <c r="C8">
        <v>16164</v>
      </c>
      <c r="D8" t="s">
        <v>34</v>
      </c>
      <c r="E8" t="s">
        <v>160</v>
      </c>
      <c r="F8" s="9" t="s">
        <v>155</v>
      </c>
      <c r="G8" s="9" t="s">
        <v>35</v>
      </c>
      <c r="H8" s="7">
        <v>46265</v>
      </c>
      <c r="I8" s="7">
        <v>46269</v>
      </c>
      <c r="J8" s="8">
        <f t="shared" si="0"/>
        <v>5</v>
      </c>
      <c r="K8" s="9" t="s">
        <v>36</v>
      </c>
      <c r="L8" t="s">
        <v>32</v>
      </c>
      <c r="M8" t="str">
        <f t="shared" ca="1" si="1"/>
        <v>VENCIDO</v>
      </c>
    </row>
    <row r="9" spans="2:14" ht="47.25" customHeight="1" x14ac:dyDescent="0.25">
      <c r="C9">
        <v>16182</v>
      </c>
      <c r="D9" t="s">
        <v>37</v>
      </c>
      <c r="E9" t="s">
        <v>159</v>
      </c>
      <c r="F9" s="9" t="s">
        <v>110</v>
      </c>
      <c r="G9" s="9" t="s">
        <v>38</v>
      </c>
      <c r="H9" s="7">
        <v>46260</v>
      </c>
      <c r="I9" s="7">
        <v>46276</v>
      </c>
      <c r="J9" s="8">
        <f t="shared" si="0"/>
        <v>17</v>
      </c>
      <c r="K9" s="9" t="s">
        <v>39</v>
      </c>
      <c r="L9" t="s">
        <v>32</v>
      </c>
      <c r="M9" t="str">
        <f t="shared" ca="1" si="1"/>
        <v>VENCIDO</v>
      </c>
    </row>
    <row r="10" spans="2:14" ht="47.25" customHeight="1" x14ac:dyDescent="0.25">
      <c r="C10">
        <v>16217</v>
      </c>
      <c r="D10" t="s">
        <v>43</v>
      </c>
      <c r="E10" t="s">
        <v>161</v>
      </c>
      <c r="F10" s="9" t="s">
        <v>156</v>
      </c>
      <c r="G10" s="9" t="s">
        <v>44</v>
      </c>
      <c r="H10" s="7">
        <v>46266</v>
      </c>
      <c r="I10" s="7">
        <v>46266</v>
      </c>
      <c r="J10" s="8">
        <f t="shared" si="0"/>
        <v>1</v>
      </c>
      <c r="K10" s="9" t="s">
        <v>45</v>
      </c>
      <c r="L10" t="s">
        <v>32</v>
      </c>
      <c r="M10" t="str">
        <f t="shared" ca="1" si="1"/>
        <v>VENCIDO</v>
      </c>
    </row>
    <row r="11" spans="2:14" ht="47.25" customHeight="1" x14ac:dyDescent="0.25">
      <c r="C11">
        <v>16228</v>
      </c>
      <c r="D11" t="s">
        <v>46</v>
      </c>
      <c r="E11" t="s">
        <v>162</v>
      </c>
      <c r="F11" s="9" t="s">
        <v>157</v>
      </c>
      <c r="G11" s="9" t="s">
        <v>47</v>
      </c>
      <c r="H11" s="7">
        <v>46267</v>
      </c>
      <c r="I11" s="7">
        <v>46304</v>
      </c>
      <c r="J11" s="8">
        <f t="shared" si="0"/>
        <v>38</v>
      </c>
      <c r="K11" s="9" t="s">
        <v>48</v>
      </c>
      <c r="L11" t="s">
        <v>32</v>
      </c>
      <c r="M11" t="str">
        <f t="shared" ca="1" si="1"/>
        <v>VIGENTE</v>
      </c>
    </row>
    <row r="12" spans="2:14" ht="47.25" customHeight="1" x14ac:dyDescent="0.25">
      <c r="C12">
        <v>16255</v>
      </c>
      <c r="D12" t="s">
        <v>49</v>
      </c>
      <c r="E12" t="s">
        <v>162</v>
      </c>
      <c r="F12" s="9" t="s">
        <v>50</v>
      </c>
      <c r="G12" s="9" t="s">
        <v>50</v>
      </c>
      <c r="H12" s="7">
        <v>46274</v>
      </c>
      <c r="I12" s="7">
        <v>46304</v>
      </c>
      <c r="J12" s="8">
        <f t="shared" si="0"/>
        <v>31</v>
      </c>
      <c r="K12" s="9" t="s">
        <v>51</v>
      </c>
      <c r="L12" t="s">
        <v>32</v>
      </c>
      <c r="M12" t="str">
        <f t="shared" ca="1" si="1"/>
        <v>VIGENTE</v>
      </c>
    </row>
    <row r="13" spans="2:14" ht="47.25" customHeight="1" x14ac:dyDescent="0.25">
      <c r="C13">
        <v>16087</v>
      </c>
      <c r="D13" t="s">
        <v>52</v>
      </c>
      <c r="E13" t="s">
        <v>158</v>
      </c>
      <c r="F13" s="9" t="s">
        <v>53</v>
      </c>
      <c r="G13" s="9" t="s">
        <v>54</v>
      </c>
      <c r="H13" s="7">
        <v>46272</v>
      </c>
      <c r="I13" s="7">
        <v>46274</v>
      </c>
      <c r="J13" s="8">
        <f t="shared" si="0"/>
        <v>3</v>
      </c>
      <c r="K13" s="9" t="s">
        <v>55</v>
      </c>
      <c r="L13" t="s">
        <v>32</v>
      </c>
      <c r="M13" t="str">
        <f t="shared" ca="1" si="1"/>
        <v>VENCIDO</v>
      </c>
    </row>
    <row r="14" spans="2:14" ht="47.25" customHeight="1" x14ac:dyDescent="0.25">
      <c r="C14">
        <v>16150</v>
      </c>
      <c r="D14" s="18" t="s">
        <v>56</v>
      </c>
      <c r="E14" t="s">
        <v>163</v>
      </c>
      <c r="F14" s="9" t="s">
        <v>53</v>
      </c>
      <c r="G14" s="9" t="s">
        <v>57</v>
      </c>
      <c r="H14" s="7">
        <v>46260</v>
      </c>
      <c r="I14" s="7">
        <v>46290</v>
      </c>
      <c r="J14" s="8">
        <f t="shared" si="0"/>
        <v>31</v>
      </c>
      <c r="K14" s="9" t="s">
        <v>58</v>
      </c>
      <c r="L14" t="s">
        <v>32</v>
      </c>
      <c r="M14" t="str">
        <f t="shared" ca="1" si="1"/>
        <v>VIGENTE</v>
      </c>
      <c r="N14" t="s">
        <v>176</v>
      </c>
    </row>
    <row r="15" spans="2:14" ht="47.25" customHeight="1" x14ac:dyDescent="0.25">
      <c r="C15">
        <v>16161</v>
      </c>
      <c r="D15" t="s">
        <v>59</v>
      </c>
      <c r="E15" t="s">
        <v>160</v>
      </c>
      <c r="F15" s="9" t="s">
        <v>60</v>
      </c>
      <c r="G15" s="9" t="s">
        <v>61</v>
      </c>
      <c r="H15" s="7">
        <v>46259</v>
      </c>
      <c r="I15" s="7">
        <v>46263</v>
      </c>
      <c r="J15" s="8">
        <f t="shared" si="0"/>
        <v>5</v>
      </c>
      <c r="K15" s="9" t="s">
        <v>62</v>
      </c>
      <c r="L15" t="s">
        <v>32</v>
      </c>
      <c r="M15" t="str">
        <f t="shared" ca="1" si="1"/>
        <v>VENCIDO</v>
      </c>
    </row>
    <row r="16" spans="2:14" ht="47.25" customHeight="1" x14ac:dyDescent="0.25">
      <c r="C16">
        <v>16180</v>
      </c>
      <c r="D16" t="s">
        <v>63</v>
      </c>
      <c r="E16" t="s">
        <v>164</v>
      </c>
      <c r="F16" s="9" t="s">
        <v>64</v>
      </c>
      <c r="G16" s="9" t="s">
        <v>65</v>
      </c>
      <c r="H16" s="7">
        <v>46274</v>
      </c>
      <c r="I16" s="7">
        <v>46274</v>
      </c>
      <c r="J16" s="8">
        <f t="shared" si="0"/>
        <v>1</v>
      </c>
      <c r="K16" s="9" t="s">
        <v>66</v>
      </c>
      <c r="L16" t="s">
        <v>32</v>
      </c>
      <c r="M16" t="str">
        <f t="shared" ca="1" si="1"/>
        <v>VENCIDO</v>
      </c>
    </row>
    <row r="17" spans="3:14" ht="47.25" customHeight="1" x14ac:dyDescent="0.25">
      <c r="C17">
        <v>16208</v>
      </c>
      <c r="D17" t="s">
        <v>67</v>
      </c>
      <c r="E17" t="s">
        <v>158</v>
      </c>
      <c r="F17" s="9" t="s">
        <v>53</v>
      </c>
      <c r="G17" s="9" t="s">
        <v>54</v>
      </c>
      <c r="H17" s="7">
        <v>46274</v>
      </c>
      <c r="I17" s="7">
        <v>46276</v>
      </c>
      <c r="J17" s="8">
        <f t="shared" si="0"/>
        <v>3</v>
      </c>
      <c r="K17" s="9" t="s">
        <v>58</v>
      </c>
      <c r="L17" t="s">
        <v>32</v>
      </c>
      <c r="M17" t="str">
        <f t="shared" ca="1" si="1"/>
        <v>VENCIDO</v>
      </c>
    </row>
    <row r="18" spans="3:14" ht="47.25" customHeight="1" x14ac:dyDescent="0.25">
      <c r="C18">
        <v>16211</v>
      </c>
      <c r="D18" t="s">
        <v>68</v>
      </c>
      <c r="E18" t="s">
        <v>166</v>
      </c>
      <c r="F18" s="9" t="s">
        <v>41</v>
      </c>
      <c r="G18" s="9" t="s">
        <v>41</v>
      </c>
      <c r="H18" s="7">
        <v>46275</v>
      </c>
      <c r="I18" s="7">
        <v>46276</v>
      </c>
      <c r="J18" s="8">
        <f t="shared" si="0"/>
        <v>2</v>
      </c>
      <c r="K18" s="9" t="s">
        <v>69</v>
      </c>
      <c r="L18" t="s">
        <v>32</v>
      </c>
      <c r="M18" t="str">
        <f t="shared" ca="1" si="1"/>
        <v>VENCIDO</v>
      </c>
    </row>
    <row r="19" spans="3:14" ht="47.25" customHeight="1" x14ac:dyDescent="0.25">
      <c r="C19">
        <v>16227</v>
      </c>
      <c r="D19" t="s">
        <v>71</v>
      </c>
      <c r="E19" t="s">
        <v>162</v>
      </c>
      <c r="F19" s="9" t="s">
        <v>70</v>
      </c>
      <c r="G19" s="9" t="s">
        <v>47</v>
      </c>
      <c r="H19" s="7">
        <v>46267</v>
      </c>
      <c r="I19" s="7">
        <v>46304</v>
      </c>
      <c r="J19" s="8">
        <f t="shared" si="0"/>
        <v>38</v>
      </c>
      <c r="K19" s="9" t="s">
        <v>48</v>
      </c>
      <c r="L19" t="s">
        <v>32</v>
      </c>
      <c r="M19" t="str">
        <f t="shared" ca="1" si="1"/>
        <v>VIGENTE</v>
      </c>
    </row>
    <row r="20" spans="3:14" ht="47.25" customHeight="1" x14ac:dyDescent="0.25">
      <c r="C20">
        <v>16236</v>
      </c>
      <c r="D20" t="s">
        <v>76</v>
      </c>
      <c r="E20" t="s">
        <v>162</v>
      </c>
      <c r="F20" s="9" t="s">
        <v>72</v>
      </c>
      <c r="G20" s="9" t="s">
        <v>73</v>
      </c>
      <c r="H20" s="7">
        <v>46272</v>
      </c>
      <c r="I20" s="7">
        <v>46272</v>
      </c>
      <c r="J20" s="8">
        <f t="shared" si="0"/>
        <v>1</v>
      </c>
      <c r="K20" s="9" t="s">
        <v>74</v>
      </c>
      <c r="L20" t="s">
        <v>32</v>
      </c>
      <c r="M20" t="str">
        <f t="shared" ca="1" si="1"/>
        <v>VENCIDO</v>
      </c>
    </row>
    <row r="21" spans="3:14" ht="47.25" customHeight="1" x14ac:dyDescent="0.25">
      <c r="C21">
        <v>16258</v>
      </c>
      <c r="D21" t="s">
        <v>75</v>
      </c>
      <c r="E21" t="s">
        <v>158</v>
      </c>
      <c r="F21" s="9" t="s">
        <v>53</v>
      </c>
      <c r="G21" s="9" t="s">
        <v>30</v>
      </c>
      <c r="H21" s="7">
        <v>46289</v>
      </c>
      <c r="I21" s="7">
        <v>46301</v>
      </c>
      <c r="J21" s="8">
        <f t="shared" si="0"/>
        <v>13</v>
      </c>
      <c r="K21" s="9" t="s">
        <v>77</v>
      </c>
      <c r="L21" t="s">
        <v>32</v>
      </c>
      <c r="M21" t="str">
        <f t="shared" ca="1" si="1"/>
        <v>VIGENTE</v>
      </c>
    </row>
    <row r="22" spans="3:14" ht="47.25" customHeight="1" x14ac:dyDescent="0.25">
      <c r="C22">
        <v>16093</v>
      </c>
      <c r="D22" t="s">
        <v>78</v>
      </c>
      <c r="E22" t="s">
        <v>161</v>
      </c>
      <c r="F22" s="9" t="s">
        <v>79</v>
      </c>
      <c r="G22" s="9" t="s">
        <v>80</v>
      </c>
      <c r="H22" s="7">
        <v>46272</v>
      </c>
      <c r="I22" s="7">
        <v>46301</v>
      </c>
      <c r="J22" s="8">
        <f t="shared" si="0"/>
        <v>30</v>
      </c>
      <c r="K22" s="9" t="s">
        <v>81</v>
      </c>
      <c r="L22" t="s">
        <v>32</v>
      </c>
      <c r="M22" t="str">
        <f t="shared" ca="1" si="1"/>
        <v>VIGENTE</v>
      </c>
    </row>
    <row r="23" spans="3:14" ht="47.25" customHeight="1" x14ac:dyDescent="0.25">
      <c r="C23">
        <v>16196</v>
      </c>
      <c r="D23" t="s">
        <v>90</v>
      </c>
      <c r="E23" t="s">
        <v>162</v>
      </c>
      <c r="F23" s="9" t="s">
        <v>91</v>
      </c>
      <c r="G23" s="9" t="s">
        <v>92</v>
      </c>
      <c r="H23" s="7">
        <v>46274</v>
      </c>
      <c r="I23" s="7">
        <v>46282</v>
      </c>
      <c r="J23" s="8">
        <f t="shared" si="0"/>
        <v>9</v>
      </c>
      <c r="K23" s="9" t="s">
        <v>93</v>
      </c>
      <c r="L23" t="s">
        <v>32</v>
      </c>
      <c r="M23" t="str">
        <f t="shared" ca="1" si="1"/>
        <v>VENCIDO</v>
      </c>
    </row>
    <row r="24" spans="3:14" ht="47.25" customHeight="1" x14ac:dyDescent="0.25">
      <c r="C24">
        <v>16213</v>
      </c>
      <c r="D24" t="s">
        <v>94</v>
      </c>
      <c r="E24" t="s">
        <v>167</v>
      </c>
      <c r="F24" s="9" t="s">
        <v>95</v>
      </c>
      <c r="G24" s="9" t="s">
        <v>96</v>
      </c>
      <c r="H24" s="7">
        <v>46272</v>
      </c>
      <c r="I24" s="7">
        <v>46276</v>
      </c>
      <c r="J24" s="8">
        <f t="shared" si="0"/>
        <v>5</v>
      </c>
      <c r="K24" s="9" t="s">
        <v>97</v>
      </c>
      <c r="L24" t="s">
        <v>32</v>
      </c>
      <c r="M24" t="str">
        <f t="shared" ca="1" si="1"/>
        <v>VENCIDO</v>
      </c>
    </row>
    <row r="25" spans="3:14" ht="47.25" customHeight="1" x14ac:dyDescent="0.25">
      <c r="C25">
        <v>16230</v>
      </c>
      <c r="D25" s="18" t="s">
        <v>98</v>
      </c>
      <c r="E25" t="s">
        <v>162</v>
      </c>
      <c r="F25" s="9" t="s">
        <v>99</v>
      </c>
      <c r="G25" s="9" t="s">
        <v>100</v>
      </c>
      <c r="H25" s="7">
        <v>46289</v>
      </c>
      <c r="I25" s="7">
        <v>46289</v>
      </c>
      <c r="J25" s="8">
        <f t="shared" si="0"/>
        <v>1</v>
      </c>
      <c r="K25" s="9" t="s">
        <v>101</v>
      </c>
      <c r="L25" t="s">
        <v>32</v>
      </c>
      <c r="M25" t="str">
        <f t="shared" ca="1" si="1"/>
        <v>VIGENTE</v>
      </c>
      <c r="N25" s="3" t="s">
        <v>171</v>
      </c>
    </row>
    <row r="26" spans="3:14" ht="47.25" customHeight="1" x14ac:dyDescent="0.25">
      <c r="C26">
        <v>16233</v>
      </c>
      <c r="D26" t="s">
        <v>102</v>
      </c>
      <c r="E26" t="s">
        <v>161</v>
      </c>
      <c r="F26" s="9" t="s">
        <v>103</v>
      </c>
      <c r="G26" s="9" t="s">
        <v>104</v>
      </c>
      <c r="H26" s="7">
        <v>46261</v>
      </c>
      <c r="I26" s="7">
        <v>46320</v>
      </c>
      <c r="J26" s="8">
        <f t="shared" si="0"/>
        <v>60</v>
      </c>
      <c r="K26" s="9" t="s">
        <v>105</v>
      </c>
      <c r="L26" t="s">
        <v>32</v>
      </c>
      <c r="M26" t="str">
        <f t="shared" ca="1" si="1"/>
        <v>VIGENTE</v>
      </c>
    </row>
    <row r="27" spans="3:14" ht="50.25" customHeight="1" x14ac:dyDescent="0.25">
      <c r="C27">
        <v>16243</v>
      </c>
      <c r="D27" t="s">
        <v>106</v>
      </c>
      <c r="E27" t="s">
        <v>160</v>
      </c>
      <c r="F27" s="9" t="s">
        <v>107</v>
      </c>
      <c r="G27" s="9" t="s">
        <v>108</v>
      </c>
      <c r="H27" s="7">
        <v>46265</v>
      </c>
      <c r="I27" s="7">
        <v>46295</v>
      </c>
      <c r="J27" s="8">
        <f t="shared" si="0"/>
        <v>31</v>
      </c>
      <c r="K27" s="9" t="s">
        <v>109</v>
      </c>
      <c r="L27" t="s">
        <v>32</v>
      </c>
      <c r="M27" t="str">
        <f t="shared" ca="1" si="1"/>
        <v>VIGENTE</v>
      </c>
    </row>
    <row r="28" spans="3:14" ht="50.25" customHeight="1" x14ac:dyDescent="0.25">
      <c r="C28">
        <v>16322</v>
      </c>
      <c r="D28" s="18" t="s">
        <v>37</v>
      </c>
      <c r="E28" t="s">
        <v>159</v>
      </c>
      <c r="F28" s="9" t="s">
        <v>110</v>
      </c>
      <c r="G28" s="9" t="s">
        <v>38</v>
      </c>
      <c r="H28" s="7">
        <v>46286</v>
      </c>
      <c r="I28" s="7">
        <v>46290</v>
      </c>
      <c r="J28" s="8">
        <f t="shared" si="0"/>
        <v>5</v>
      </c>
      <c r="K28" s="9" t="s">
        <v>111</v>
      </c>
      <c r="L28" t="s">
        <v>32</v>
      </c>
      <c r="M28" t="str">
        <f t="shared" ca="1" si="1"/>
        <v>VIGENTE</v>
      </c>
      <c r="N28" t="s">
        <v>176</v>
      </c>
    </row>
    <row r="29" spans="3:14" ht="50.25" customHeight="1" x14ac:dyDescent="0.25">
      <c r="C29">
        <v>16359</v>
      </c>
      <c r="D29" s="18" t="s">
        <v>112</v>
      </c>
      <c r="E29" t="s">
        <v>165</v>
      </c>
      <c r="F29" s="9" t="s">
        <v>113</v>
      </c>
      <c r="G29" s="9" t="s">
        <v>113</v>
      </c>
      <c r="H29" s="7">
        <v>46268</v>
      </c>
      <c r="I29" s="7">
        <v>46290</v>
      </c>
      <c r="J29" s="8">
        <f t="shared" si="0"/>
        <v>23</v>
      </c>
      <c r="K29" s="9" t="s">
        <v>114</v>
      </c>
      <c r="L29" t="s">
        <v>32</v>
      </c>
      <c r="M29" t="str">
        <f t="shared" ca="1" si="1"/>
        <v>VIGENTE</v>
      </c>
      <c r="N29" t="s">
        <v>177</v>
      </c>
    </row>
    <row r="30" spans="3:14" ht="50.25" customHeight="1" x14ac:dyDescent="0.25">
      <c r="C30">
        <v>16366</v>
      </c>
      <c r="D30" s="18" t="s">
        <v>115</v>
      </c>
      <c r="E30" t="s">
        <v>159</v>
      </c>
      <c r="F30" s="9" t="s">
        <v>41</v>
      </c>
      <c r="G30" s="9" t="s">
        <v>116</v>
      </c>
      <c r="H30" s="7">
        <v>46286</v>
      </c>
      <c r="I30" s="7">
        <v>46288</v>
      </c>
      <c r="J30" s="8">
        <f t="shared" ref="J30:J35" si="2">I30-H30+1</f>
        <v>3</v>
      </c>
      <c r="K30" s="9" t="s">
        <v>117</v>
      </c>
      <c r="L30" t="s">
        <v>32</v>
      </c>
      <c r="M30" t="str">
        <f t="shared" ca="1" si="1"/>
        <v>VIGENTE</v>
      </c>
      <c r="N30" t="s">
        <v>176</v>
      </c>
    </row>
    <row r="31" spans="3:14" ht="50.25" customHeight="1" x14ac:dyDescent="0.25">
      <c r="C31">
        <v>16369</v>
      </c>
      <c r="D31" t="s">
        <v>118</v>
      </c>
      <c r="E31" t="s">
        <v>158</v>
      </c>
      <c r="F31" s="9" t="s">
        <v>41</v>
      </c>
      <c r="G31" s="9" t="s">
        <v>41</v>
      </c>
      <c r="H31" s="7">
        <v>46295</v>
      </c>
      <c r="I31" s="7">
        <v>46296</v>
      </c>
      <c r="J31" s="8">
        <f t="shared" si="2"/>
        <v>2</v>
      </c>
      <c r="K31" s="9" t="s">
        <v>119</v>
      </c>
      <c r="L31" t="s">
        <v>32</v>
      </c>
      <c r="M31" t="str">
        <f t="shared" ca="1" si="1"/>
        <v>VIGENTE</v>
      </c>
    </row>
    <row r="32" spans="3:14" ht="50.25" customHeight="1" x14ac:dyDescent="0.25">
      <c r="C32">
        <v>16390</v>
      </c>
      <c r="D32" t="s">
        <v>120</v>
      </c>
      <c r="E32" t="s">
        <v>159</v>
      </c>
      <c r="F32" s="9" t="s">
        <v>41</v>
      </c>
      <c r="G32" s="9" t="s">
        <v>121</v>
      </c>
      <c r="H32" s="7">
        <v>46293</v>
      </c>
      <c r="I32" s="7">
        <v>46294</v>
      </c>
      <c r="J32" s="8">
        <f t="shared" si="2"/>
        <v>2</v>
      </c>
      <c r="K32" s="9" t="s">
        <v>119</v>
      </c>
      <c r="L32" t="s">
        <v>32</v>
      </c>
      <c r="M32" t="str">
        <f t="shared" ca="1" si="1"/>
        <v>VIGENTE</v>
      </c>
    </row>
    <row r="33" spans="3:14" ht="50.25" customHeight="1" x14ac:dyDescent="0.25">
      <c r="C33">
        <v>15732</v>
      </c>
      <c r="D33" t="s">
        <v>122</v>
      </c>
      <c r="E33" t="s">
        <v>165</v>
      </c>
      <c r="F33" s="9" t="s">
        <v>123</v>
      </c>
      <c r="G33" s="9" t="s">
        <v>124</v>
      </c>
      <c r="H33" s="7">
        <v>46296</v>
      </c>
      <c r="I33" s="7">
        <v>46302</v>
      </c>
      <c r="J33" s="8">
        <f t="shared" si="2"/>
        <v>7</v>
      </c>
      <c r="K33" s="9" t="s">
        <v>125</v>
      </c>
      <c r="L33" t="s">
        <v>32</v>
      </c>
      <c r="M33" t="str">
        <f t="shared" ca="1" si="1"/>
        <v>VIGENTE</v>
      </c>
    </row>
    <row r="34" spans="3:14" ht="50.25" customHeight="1" x14ac:dyDescent="0.25">
      <c r="C34">
        <v>16162</v>
      </c>
      <c r="D34" t="s">
        <v>126</v>
      </c>
      <c r="E34" t="s">
        <v>161</v>
      </c>
      <c r="F34" s="9" t="s">
        <v>127</v>
      </c>
      <c r="G34" s="9" t="s">
        <v>128</v>
      </c>
      <c r="H34" s="7">
        <v>46274</v>
      </c>
      <c r="I34" s="7">
        <v>46275</v>
      </c>
      <c r="J34" s="8">
        <f t="shared" si="2"/>
        <v>2</v>
      </c>
      <c r="K34" s="9" t="s">
        <v>129</v>
      </c>
      <c r="L34" t="s">
        <v>32</v>
      </c>
      <c r="M34" t="str">
        <f t="shared" ca="1" si="1"/>
        <v>VENCIDO</v>
      </c>
    </row>
    <row r="35" spans="3:14" ht="50.25" customHeight="1" x14ac:dyDescent="0.25">
      <c r="C35">
        <v>16213</v>
      </c>
      <c r="D35" t="s">
        <v>94</v>
      </c>
      <c r="E35" t="s">
        <v>167</v>
      </c>
      <c r="F35" s="9" t="s">
        <v>95</v>
      </c>
      <c r="G35" s="9" t="s">
        <v>96</v>
      </c>
      <c r="H35" s="7">
        <v>46265</v>
      </c>
      <c r="I35" s="7">
        <v>46269</v>
      </c>
      <c r="J35" s="8">
        <f t="shared" si="2"/>
        <v>5</v>
      </c>
      <c r="K35" s="9" t="s">
        <v>97</v>
      </c>
      <c r="L35" t="s">
        <v>32</v>
      </c>
      <c r="M35" t="str">
        <f t="shared" ca="1" si="1"/>
        <v>VENCIDO</v>
      </c>
    </row>
    <row r="36" spans="3:14" ht="45" x14ac:dyDescent="0.25">
      <c r="C36">
        <v>16229</v>
      </c>
      <c r="D36" s="18" t="s">
        <v>130</v>
      </c>
      <c r="E36" t="s">
        <v>164</v>
      </c>
      <c r="F36" s="9" t="s">
        <v>99</v>
      </c>
      <c r="G36" s="9" t="s">
        <v>100</v>
      </c>
      <c r="H36" s="7">
        <v>46290</v>
      </c>
      <c r="I36" s="16">
        <v>46290</v>
      </c>
      <c r="J36" s="8">
        <f t="shared" ref="J36:J43" si="3">I36-H36+1</f>
        <v>1</v>
      </c>
      <c r="K36" s="9" t="s">
        <v>101</v>
      </c>
      <c r="L36" t="s">
        <v>32</v>
      </c>
      <c r="M36" t="str">
        <f t="shared" ca="1" si="1"/>
        <v>VIGENTE</v>
      </c>
      <c r="N36" s="3" t="s">
        <v>171</v>
      </c>
    </row>
    <row r="37" spans="3:14" ht="45" x14ac:dyDescent="0.25">
      <c r="C37">
        <v>16231</v>
      </c>
      <c r="D37" s="18" t="s">
        <v>131</v>
      </c>
      <c r="E37" t="s">
        <v>166</v>
      </c>
      <c r="F37" s="9" t="s">
        <v>99</v>
      </c>
      <c r="G37" s="9" t="s">
        <v>132</v>
      </c>
      <c r="H37" s="7">
        <v>46288</v>
      </c>
      <c r="I37" s="7">
        <v>46288</v>
      </c>
      <c r="J37" s="8">
        <f t="shared" si="3"/>
        <v>1</v>
      </c>
      <c r="K37" s="9" t="s">
        <v>101</v>
      </c>
      <c r="L37" t="s">
        <v>32</v>
      </c>
      <c r="M37" t="str">
        <f t="shared" ca="1" si="1"/>
        <v>VIGENTE</v>
      </c>
      <c r="N37" t="s">
        <v>176</v>
      </c>
    </row>
    <row r="38" spans="3:14" x14ac:dyDescent="0.25">
      <c r="C38">
        <v>16325</v>
      </c>
      <c r="D38" t="s">
        <v>133</v>
      </c>
      <c r="E38" t="s">
        <v>163</v>
      </c>
      <c r="F38" s="9" t="s">
        <v>41</v>
      </c>
      <c r="G38" s="9" t="s">
        <v>41</v>
      </c>
      <c r="H38" s="7">
        <v>46300</v>
      </c>
      <c r="I38" s="7">
        <v>46301</v>
      </c>
      <c r="J38" s="8">
        <f t="shared" si="3"/>
        <v>2</v>
      </c>
      <c r="K38" s="9" t="s">
        <v>134</v>
      </c>
      <c r="L38" t="s">
        <v>32</v>
      </c>
      <c r="M38" t="str">
        <f t="shared" ca="1" si="1"/>
        <v>VIGENTE</v>
      </c>
    </row>
    <row r="39" spans="3:14" ht="45" x14ac:dyDescent="0.25">
      <c r="C39">
        <v>16310</v>
      </c>
      <c r="D39" t="s">
        <v>135</v>
      </c>
      <c r="E39" t="s">
        <v>161</v>
      </c>
      <c r="F39" s="9" t="s">
        <v>136</v>
      </c>
      <c r="G39" s="9" t="s">
        <v>137</v>
      </c>
      <c r="H39" s="7">
        <v>46282</v>
      </c>
      <c r="I39" s="7">
        <v>46282</v>
      </c>
      <c r="J39" s="8">
        <f t="shared" si="3"/>
        <v>1</v>
      </c>
      <c r="K39" s="9" t="s">
        <v>138</v>
      </c>
      <c r="L39" t="s">
        <v>32</v>
      </c>
      <c r="M39" t="str">
        <f t="shared" ca="1" si="1"/>
        <v>VENCIDO</v>
      </c>
    </row>
    <row r="40" spans="3:14" ht="30" x14ac:dyDescent="0.25">
      <c r="C40">
        <v>16333</v>
      </c>
      <c r="D40" s="18" t="s">
        <v>139</v>
      </c>
      <c r="E40" t="s">
        <v>164</v>
      </c>
      <c r="F40" s="9" t="s">
        <v>140</v>
      </c>
      <c r="G40" s="9" t="s">
        <v>141</v>
      </c>
      <c r="H40" s="7">
        <v>46287</v>
      </c>
      <c r="I40" s="7">
        <v>46291</v>
      </c>
      <c r="J40" s="8">
        <f t="shared" si="3"/>
        <v>5</v>
      </c>
      <c r="K40" s="9" t="s">
        <v>142</v>
      </c>
      <c r="L40" t="s">
        <v>32</v>
      </c>
      <c r="M40" t="str">
        <f t="shared" ca="1" si="1"/>
        <v>VIGENTE</v>
      </c>
      <c r="N40" s="3" t="s">
        <v>171</v>
      </c>
    </row>
    <row r="41" spans="3:14" ht="45" x14ac:dyDescent="0.25">
      <c r="C41">
        <v>16365</v>
      </c>
      <c r="D41" t="s">
        <v>143</v>
      </c>
      <c r="E41" t="s">
        <v>158</v>
      </c>
      <c r="F41" s="9" t="s">
        <v>41</v>
      </c>
      <c r="G41" s="9" t="s">
        <v>144</v>
      </c>
      <c r="H41" s="7">
        <v>46295</v>
      </c>
      <c r="I41" s="7">
        <v>46297</v>
      </c>
      <c r="J41" s="8">
        <f t="shared" si="3"/>
        <v>3</v>
      </c>
      <c r="K41" s="9" t="s">
        <v>145</v>
      </c>
      <c r="L41" t="s">
        <v>32</v>
      </c>
      <c r="M41" t="str">
        <f t="shared" ca="1" si="1"/>
        <v>VIGENTE</v>
      </c>
    </row>
    <row r="42" spans="3:14" ht="45" x14ac:dyDescent="0.25">
      <c r="C42">
        <v>16367</v>
      </c>
      <c r="D42" s="18" t="s">
        <v>146</v>
      </c>
      <c r="E42" t="s">
        <v>159</v>
      </c>
      <c r="F42" s="9" t="s">
        <v>41</v>
      </c>
      <c r="G42" s="9" t="s">
        <v>116</v>
      </c>
      <c r="H42" s="7">
        <v>46286</v>
      </c>
      <c r="I42" s="7">
        <v>46288</v>
      </c>
      <c r="J42" s="8">
        <f>I42-H42+1</f>
        <v>3</v>
      </c>
      <c r="K42" s="9" t="s">
        <v>147</v>
      </c>
      <c r="L42" t="s">
        <v>32</v>
      </c>
      <c r="M42" t="str">
        <f t="shared" ca="1" si="1"/>
        <v>VIGENTE</v>
      </c>
      <c r="N42" t="s">
        <v>176</v>
      </c>
    </row>
    <row r="43" spans="3:14" ht="45" x14ac:dyDescent="0.25">
      <c r="C43">
        <v>16389</v>
      </c>
      <c r="D43" t="s">
        <v>148</v>
      </c>
      <c r="E43" t="s">
        <v>159</v>
      </c>
      <c r="F43" s="9" t="s">
        <v>41</v>
      </c>
      <c r="G43" s="9" t="s">
        <v>121</v>
      </c>
      <c r="H43" s="7">
        <v>46293</v>
      </c>
      <c r="I43" s="7">
        <v>46294</v>
      </c>
      <c r="J43" s="8">
        <f t="shared" si="3"/>
        <v>2</v>
      </c>
      <c r="K43" s="9" t="s">
        <v>119</v>
      </c>
      <c r="L43" t="s">
        <v>32</v>
      </c>
      <c r="M43" t="str">
        <f t="shared" ca="1" si="1"/>
        <v>VIGENTE</v>
      </c>
    </row>
    <row r="44" spans="3:14" x14ac:dyDescent="0.25">
      <c r="C44">
        <v>16213</v>
      </c>
      <c r="D44" t="s">
        <v>94</v>
      </c>
      <c r="E44" t="s">
        <v>167</v>
      </c>
      <c r="F44" s="9" t="s">
        <v>95</v>
      </c>
      <c r="G44" s="9" t="s">
        <v>96</v>
      </c>
      <c r="H44" s="7">
        <v>46272</v>
      </c>
      <c r="I44" s="7">
        <v>46276</v>
      </c>
      <c r="J44" s="8">
        <f>I44-H44+1</f>
        <v>5</v>
      </c>
      <c r="K44" s="10" t="s">
        <v>149</v>
      </c>
      <c r="L44" t="s">
        <v>32</v>
      </c>
      <c r="M44" t="str">
        <f t="shared" ca="1" si="1"/>
        <v>VENCIDO</v>
      </c>
    </row>
    <row r="45" spans="3:14" ht="30" x14ac:dyDescent="0.25">
      <c r="C45">
        <v>16162</v>
      </c>
      <c r="D45" t="s">
        <v>126</v>
      </c>
      <c r="E45" t="s">
        <v>161</v>
      </c>
      <c r="F45" s="9" t="s">
        <v>127</v>
      </c>
      <c r="G45" s="9" t="s">
        <v>128</v>
      </c>
      <c r="H45" s="7">
        <v>46295</v>
      </c>
      <c r="I45" s="7">
        <v>46296</v>
      </c>
      <c r="J45" s="8">
        <f>I45-H45+1</f>
        <v>2</v>
      </c>
      <c r="K45" s="9" t="s">
        <v>150</v>
      </c>
      <c r="L45" t="s">
        <v>32</v>
      </c>
      <c r="M45" t="str">
        <f t="shared" ca="1" si="1"/>
        <v>VIGENTE</v>
      </c>
    </row>
    <row r="46" spans="3:14" ht="30" x14ac:dyDescent="0.25">
      <c r="C46">
        <v>16184</v>
      </c>
      <c r="D46" t="s">
        <v>151</v>
      </c>
      <c r="E46" t="s">
        <v>161</v>
      </c>
      <c r="F46" s="9" t="s">
        <v>53</v>
      </c>
      <c r="G46" s="9" t="s">
        <v>152</v>
      </c>
      <c r="H46" s="7">
        <v>46290</v>
      </c>
      <c r="I46" s="7">
        <v>46294</v>
      </c>
      <c r="J46" s="8">
        <f>I46-H46+1</f>
        <v>5</v>
      </c>
      <c r="K46" s="9" t="s">
        <v>77</v>
      </c>
      <c r="L46" t="s">
        <v>32</v>
      </c>
      <c r="M46" t="str">
        <f t="shared" ca="1" si="1"/>
        <v>VIGENTE</v>
      </c>
    </row>
  </sheetData>
  <autoFilter ref="B5:M46" xr:uid="{F06C71D2-B0AF-4864-8983-BC7E0AD60C5B}"/>
  <conditionalFormatting sqref="L6:L46">
    <cfRule type="cellIs" dxfId="15" priority="1" operator="equal">
      <formula>"NO"</formula>
    </cfRule>
    <cfRule type="cellIs" dxfId="14" priority="2" operator="equal">
      <formula>"SI"</formula>
    </cfRule>
  </conditionalFormatting>
  <dataValidations disablePrompts="1" count="1">
    <dataValidation type="list" allowBlank="1" showInputMessage="1" showErrorMessage="1" sqref="L6:L46" xr:uid="{3FB5AC1C-251E-4DD5-9E59-D37CC1627EB5}">
      <formula1>"SI,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3D08-27DE-4EDD-A982-EC1A5198370D}">
  <dimension ref="A1:AK20"/>
  <sheetViews>
    <sheetView workbookViewId="0">
      <selection activeCell="C13" sqref="C13"/>
    </sheetView>
  </sheetViews>
  <sheetFormatPr baseColWidth="10" defaultRowHeight="15" x14ac:dyDescent="0.25"/>
  <cols>
    <col min="1" max="1" width="18.5703125" customWidth="1"/>
    <col min="2" max="2" width="11.85546875" bestFit="1" customWidth="1"/>
    <col min="4" max="4" width="6" bestFit="1" customWidth="1"/>
    <col min="5" max="5" width="22.7109375" bestFit="1" customWidth="1"/>
    <col min="6" max="6" width="11.42578125" bestFit="1" customWidth="1"/>
    <col min="7" max="7" width="11.42578125" customWidth="1"/>
    <col min="9" max="9" width="9.28515625" bestFit="1" customWidth="1"/>
    <col min="10" max="10" width="6" bestFit="1" customWidth="1"/>
    <col min="11" max="11" width="18.28515625" bestFit="1" customWidth="1"/>
    <col min="12" max="12" width="11.42578125" bestFit="1" customWidth="1"/>
    <col min="13" max="13" width="11.42578125" customWidth="1"/>
    <col min="15" max="15" width="9.28515625" bestFit="1" customWidth="1"/>
    <col min="16" max="16" width="6" bestFit="1" customWidth="1"/>
    <col min="17" max="17" width="18.28515625" bestFit="1" customWidth="1"/>
    <col min="19" max="19" width="15.5703125" customWidth="1"/>
  </cols>
  <sheetData>
    <row r="1" spans="1:37" ht="21" x14ac:dyDescent="0.25">
      <c r="B1" s="43" t="s">
        <v>0</v>
      </c>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row>
    <row r="2" spans="1:37" ht="27" customHeight="1" x14ac:dyDescent="0.25">
      <c r="B2" s="46" t="s">
        <v>1</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row>
    <row r="3" spans="1:37" x14ac:dyDescent="0.25">
      <c r="K3" s="20"/>
      <c r="Q3" s="20"/>
      <c r="U3" s="20"/>
      <c r="Y3" s="20"/>
      <c r="AC3" s="20"/>
      <c r="AG3" s="20"/>
    </row>
    <row r="4" spans="1:37" x14ac:dyDescent="0.25">
      <c r="B4" s="1" t="s">
        <v>2</v>
      </c>
      <c r="C4" s="6">
        <v>46286</v>
      </c>
      <c r="D4" s="8" t="s">
        <v>26</v>
      </c>
      <c r="E4" s="7">
        <v>46291</v>
      </c>
      <c r="F4" s="7"/>
      <c r="G4" s="7"/>
      <c r="K4" s="20"/>
      <c r="L4" s="7"/>
      <c r="M4" s="7"/>
      <c r="Q4" s="20"/>
      <c r="U4" s="20"/>
      <c r="Y4" s="20"/>
      <c r="AC4" s="20"/>
      <c r="AG4" s="20"/>
    </row>
    <row r="7" spans="1:37" ht="15.75" thickBot="1" x14ac:dyDescent="0.3"/>
    <row r="8" spans="1:37" ht="15.75" thickBot="1" x14ac:dyDescent="0.3">
      <c r="B8" s="36" t="s">
        <v>27</v>
      </c>
      <c r="C8" s="58"/>
      <c r="D8" s="53"/>
      <c r="E8" s="53"/>
      <c r="F8" s="8"/>
      <c r="G8" s="8"/>
      <c r="L8" s="8"/>
      <c r="M8" s="8"/>
    </row>
    <row r="9" spans="1:37" x14ac:dyDescent="0.25">
      <c r="B9" s="35"/>
      <c r="C9" s="8"/>
      <c r="D9" s="8"/>
      <c r="E9" s="8"/>
      <c r="F9" s="8"/>
      <c r="G9" s="8"/>
      <c r="L9" s="8"/>
      <c r="M9" s="8"/>
    </row>
    <row r="10" spans="1:37" ht="15.75" thickBot="1" x14ac:dyDescent="0.3">
      <c r="C10" s="59" t="s">
        <v>14</v>
      </c>
      <c r="D10" s="59"/>
      <c r="E10" s="59"/>
      <c r="F10" s="59"/>
      <c r="G10" s="59"/>
      <c r="H10" s="59"/>
      <c r="I10" s="59" t="s">
        <v>187</v>
      </c>
      <c r="J10" s="59"/>
      <c r="K10" s="59"/>
      <c r="L10" s="59"/>
      <c r="M10" s="59"/>
      <c r="N10" s="59"/>
      <c r="O10" s="59" t="s">
        <v>188</v>
      </c>
      <c r="P10" s="59"/>
      <c r="Q10" s="59"/>
      <c r="R10" s="59"/>
    </row>
    <row r="11" spans="1:37" ht="32.25" customHeight="1" thickBot="1" x14ac:dyDescent="0.3">
      <c r="A11" s="37" t="s">
        <v>153</v>
      </c>
      <c r="B11" s="36" t="s">
        <v>6</v>
      </c>
      <c r="C11" s="38" t="s">
        <v>7</v>
      </c>
      <c r="D11" s="38" t="s">
        <v>153</v>
      </c>
      <c r="E11" s="38" t="s">
        <v>186</v>
      </c>
      <c r="F11" s="38" t="s">
        <v>189</v>
      </c>
      <c r="G11" s="38" t="s">
        <v>190</v>
      </c>
      <c r="H11" s="38" t="s">
        <v>12</v>
      </c>
      <c r="I11" s="38" t="s">
        <v>7</v>
      </c>
      <c r="J11" s="38" t="s">
        <v>153</v>
      </c>
      <c r="K11" s="38" t="s">
        <v>186</v>
      </c>
      <c r="L11" s="38" t="s">
        <v>189</v>
      </c>
      <c r="M11" s="38" t="s">
        <v>190</v>
      </c>
      <c r="N11" s="38" t="s">
        <v>12</v>
      </c>
      <c r="O11" s="38" t="s">
        <v>7</v>
      </c>
      <c r="P11" s="38" t="s">
        <v>153</v>
      </c>
      <c r="Q11" s="38" t="s">
        <v>186</v>
      </c>
      <c r="R11" s="38" t="s">
        <v>12</v>
      </c>
      <c r="S11" s="60" t="s">
        <v>13</v>
      </c>
    </row>
    <row r="12" spans="1:37" ht="32.25" customHeight="1" x14ac:dyDescent="0.25">
      <c r="A12">
        <v>1</v>
      </c>
      <c r="B12" s="4" t="s">
        <v>168</v>
      </c>
      <c r="C12" s="21" t="s">
        <v>196</v>
      </c>
      <c r="D12" s="4">
        <v>16333</v>
      </c>
      <c r="E12" s="4" t="s">
        <v>139</v>
      </c>
      <c r="F12" s="4"/>
      <c r="G12" s="4"/>
      <c r="H12" s="4" t="s">
        <v>19</v>
      </c>
      <c r="I12" s="21" t="s">
        <v>29</v>
      </c>
      <c r="J12" s="4">
        <v>16333</v>
      </c>
      <c r="K12" s="4" t="s">
        <v>139</v>
      </c>
      <c r="L12" s="4"/>
      <c r="M12" s="4"/>
      <c r="N12" s="4" t="s">
        <v>19</v>
      </c>
      <c r="O12" s="21" t="s">
        <v>29</v>
      </c>
      <c r="P12" s="4">
        <v>16333</v>
      </c>
      <c r="Q12" s="4" t="s">
        <v>139</v>
      </c>
      <c r="R12" s="4" t="s">
        <v>19</v>
      </c>
    </row>
    <row r="13" spans="1:37" ht="32.25" customHeight="1" x14ac:dyDescent="0.25">
      <c r="A13">
        <v>2</v>
      </c>
      <c r="B13" s="4"/>
      <c r="C13" s="21" t="s">
        <v>196</v>
      </c>
      <c r="D13" s="4">
        <v>16230</v>
      </c>
      <c r="E13" s="4" t="s">
        <v>98</v>
      </c>
      <c r="F13" s="4"/>
      <c r="G13" s="4"/>
      <c r="H13" s="4" t="s">
        <v>19</v>
      </c>
      <c r="I13" s="21" t="s">
        <v>29</v>
      </c>
      <c r="J13" s="4">
        <v>16230</v>
      </c>
      <c r="K13" s="4" t="s">
        <v>98</v>
      </c>
      <c r="L13" s="4"/>
      <c r="M13" s="4"/>
      <c r="N13" s="4" t="s">
        <v>19</v>
      </c>
      <c r="O13" s="21" t="s">
        <v>29</v>
      </c>
      <c r="P13" s="4">
        <v>16230</v>
      </c>
      <c r="Q13" s="4" t="s">
        <v>98</v>
      </c>
      <c r="R13" s="4" t="s">
        <v>19</v>
      </c>
    </row>
    <row r="14" spans="1:37" ht="32.25" customHeight="1" x14ac:dyDescent="0.25">
      <c r="A14">
        <v>3</v>
      </c>
      <c r="B14" s="4"/>
      <c r="C14" s="21" t="s">
        <v>29</v>
      </c>
      <c r="D14" s="4">
        <v>16229</v>
      </c>
      <c r="E14" s="17" t="s">
        <v>130</v>
      </c>
      <c r="F14" s="17"/>
      <c r="G14" s="17"/>
      <c r="H14" s="4" t="s">
        <v>19</v>
      </c>
      <c r="I14" s="21" t="s">
        <v>29</v>
      </c>
      <c r="J14" s="4">
        <v>16229</v>
      </c>
      <c r="K14" s="17" t="s">
        <v>130</v>
      </c>
      <c r="L14" s="17"/>
      <c r="M14" s="17"/>
      <c r="N14" s="4" t="s">
        <v>19</v>
      </c>
      <c r="O14" s="21" t="s">
        <v>29</v>
      </c>
      <c r="P14" s="4">
        <v>16229</v>
      </c>
      <c r="Q14" s="17" t="s">
        <v>130</v>
      </c>
      <c r="R14" s="4" t="s">
        <v>19</v>
      </c>
    </row>
    <row r="15" spans="1:37" ht="32.25" customHeight="1" x14ac:dyDescent="0.25">
      <c r="B15" s="4"/>
      <c r="C15" s="21"/>
      <c r="H15" s="4"/>
    </row>
    <row r="19" spans="17:17" ht="15.75" thickBot="1" x14ac:dyDescent="0.3"/>
    <row r="20" spans="17:17" ht="15.75" thickBot="1" x14ac:dyDescent="0.3">
      <c r="Q20" s="2" t="s">
        <v>13</v>
      </c>
    </row>
  </sheetData>
  <mergeCells count="6">
    <mergeCell ref="B1:AK1"/>
    <mergeCell ref="B2:AK2"/>
    <mergeCell ref="C8:E8"/>
    <mergeCell ref="C10:H10"/>
    <mergeCell ref="I10:N10"/>
    <mergeCell ref="O10:R10"/>
  </mergeCells>
  <phoneticPr fontId="9" type="noConversion"/>
  <conditionalFormatting sqref="B12:B15">
    <cfRule type="cellIs" dxfId="13" priority="10" operator="equal">
      <formula>"SECTOR 3"</formula>
    </cfRule>
    <cfRule type="cellIs" dxfId="12" priority="11" operator="equal">
      <formula>"SECTOR 2"</formula>
    </cfRule>
    <cfRule type="cellIs" dxfId="11" priority="12" operator="equal">
      <formula>"SECTOR 1"</formula>
    </cfRule>
    <cfRule type="cellIs" dxfId="10" priority="13" operator="equal">
      <formula>"SECTOR1"</formula>
    </cfRule>
    <cfRule type="cellIs" dxfId="9" priority="14" operator="equal">
      <formula>"SECTOR1"</formula>
    </cfRule>
  </conditionalFormatting>
  <conditionalFormatting sqref="H12:H15">
    <cfRule type="cellIs" dxfId="8" priority="7" stopIfTrue="1" operator="equal">
      <formula>"Pendiente"</formula>
    </cfRule>
    <cfRule type="cellIs" dxfId="7" priority="8" stopIfTrue="1" operator="equal">
      <formula>"En Inspección"</formula>
    </cfRule>
    <cfRule type="cellIs" dxfId="6" priority="9" stopIfTrue="1" operator="equal">
      <formula>"Realizado"</formula>
    </cfRule>
  </conditionalFormatting>
  <conditionalFormatting sqref="N12:N14">
    <cfRule type="cellIs" dxfId="5" priority="4" stopIfTrue="1" operator="equal">
      <formula>"Pendiente"</formula>
    </cfRule>
    <cfRule type="cellIs" dxfId="4" priority="5" stopIfTrue="1" operator="equal">
      <formula>"En Inspección"</formula>
    </cfRule>
    <cfRule type="cellIs" dxfId="3" priority="6" stopIfTrue="1" operator="equal">
      <formula>"Realizado"</formula>
    </cfRule>
  </conditionalFormatting>
  <conditionalFormatting sqref="R12:R14">
    <cfRule type="cellIs" dxfId="2" priority="1" stopIfTrue="1" operator="equal">
      <formula>"Pendiente"</formula>
    </cfRule>
    <cfRule type="cellIs" dxfId="1" priority="2" stopIfTrue="1" operator="equal">
      <formula>"En Inspección"</formula>
    </cfRule>
    <cfRule type="cellIs" dxfId="0" priority="3" stopIfTrue="1" operator="equal">
      <formula>"Realizado"</formula>
    </cfRule>
  </conditionalFormatting>
  <dataValidations count="3">
    <dataValidation type="list" allowBlank="1" errorTitle="Tipo de Exigencia Inválido" error="Por favor selecciona una opción válida de Tipo de Exigencia" promptTitle="Tipo de Exigencia" prompt="Selecciona el tipo de exigencia" sqref="C12:C15 I12:I14 O12:O14" xr:uid="{99A2D4B3-2072-49E2-90A0-2A38ACE27417}">
      <formula1>"ETO,RCA,Requerimiento Interno,En Ruta,otro,N/A"</formula1>
    </dataValidation>
    <dataValidation type="list" allowBlank="1" errorTitle="Sector Inválido" error="Por favor selecciona un sector válido (Sector 1, Sector 2 o Sector 3)" promptTitle="Asignación de Sector" prompt="Selecciona el sector" sqref="B12:B15" xr:uid="{14B8F396-0362-4958-A617-66908F6594D5}">
      <formula1>"Sector 1,Sector 2,Sector 3"</formula1>
    </dataValidation>
    <dataValidation type="list" allowBlank="1" errorTitle="Estado Inválido" error="Por favor selecciona &quot;Realizado&quot;, &quot;Pendiente&quot; o &quot;En Inspección&quot;" promptTitle="Estado del proceso" prompt="Selecciona el estado" sqref="H12:H15 N12:N14 R12:R14" xr:uid="{5AA38DA3-924B-4D66-A3A4-0B58F4208E7C}">
      <formula1>"Realizado,Pendiente,En Inspección"</formula1>
    </dataValidation>
  </dataValidations>
  <pageMargins left="0.7" right="0.7" top="0.75" bottom="0.75" header="0.3" footer="0.3"/>
  <pageSetup paperSize="13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Control de Turnos 21.09</vt:lpstr>
      <vt:lpstr>Turno extendido</vt:lpstr>
      <vt:lpstr>ETO</vt:lpstr>
      <vt:lpstr>Hoja3</vt:lpstr>
      <vt:lpstr>'Control de Turnos 21.09'!Área_de_impresión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KRISTOPHER LUIS GONZALEZ TILLERIA</cp:lastModifiedBy>
  <cp:lastPrinted>2026-09-21T19:56:09Z</cp:lastPrinted>
  <dcterms:created xsi:type="dcterms:W3CDTF">2026-09-15T00:19:13Z</dcterms:created>
  <dcterms:modified xsi:type="dcterms:W3CDTF">2026-09-22T12:48:12Z</dcterms:modified>
</cp:coreProperties>
</file>